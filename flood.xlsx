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etter\04Drought_to_flood\Data analysis\"/>
    </mc:Choice>
  </mc:AlternateContent>
  <xr:revisionPtr revIDLastSave="0" documentId="13_ncr:1_{F3E9D3C6-466F-40A9-BAFC-75EAB6049842}" xr6:coauthVersionLast="47" xr6:coauthVersionMax="47" xr10:uidLastSave="{00000000-0000-0000-0000-000000000000}"/>
  <bookViews>
    <workbookView xWindow="4725" yWindow="555" windowWidth="21495" windowHeight="12990" activeTab="1" xr2:uid="{00000000-000D-0000-FFFF-FFFF00000000}"/>
  </bookViews>
  <sheets>
    <sheet name="积水峰值规律" sheetId="2" r:id="rId1"/>
    <sheet name="消退速率结果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3" i="3" l="1"/>
  <c r="Z54" i="3"/>
  <c r="Z55" i="3"/>
  <c r="Z56" i="3"/>
  <c r="Z57" i="3"/>
  <c r="Z58" i="3"/>
  <c r="Z52" i="3"/>
  <c r="X53" i="3"/>
  <c r="X54" i="3"/>
  <c r="X55" i="3"/>
  <c r="X56" i="3"/>
  <c r="X57" i="3"/>
  <c r="X58" i="3"/>
  <c r="X52" i="3"/>
  <c r="V53" i="3"/>
  <c r="V54" i="3"/>
  <c r="V55" i="3"/>
  <c r="V56" i="3"/>
  <c r="V57" i="3"/>
  <c r="V58" i="3"/>
  <c r="V52" i="3"/>
  <c r="T53" i="3"/>
  <c r="T54" i="3"/>
  <c r="T55" i="3"/>
  <c r="T56" i="3"/>
  <c r="T57" i="3"/>
  <c r="T58" i="3"/>
  <c r="T52" i="3"/>
  <c r="R53" i="3"/>
  <c r="R54" i="3"/>
  <c r="R55" i="3"/>
  <c r="R56" i="3"/>
  <c r="R57" i="3"/>
  <c r="R58" i="3"/>
  <c r="R52" i="3"/>
  <c r="P53" i="3"/>
  <c r="P54" i="3"/>
  <c r="P55" i="3"/>
  <c r="P56" i="3"/>
  <c r="P57" i="3"/>
  <c r="P58" i="3"/>
  <c r="P52" i="3"/>
  <c r="Y28" i="3" l="1"/>
  <c r="Y27" i="3"/>
  <c r="Y26" i="3"/>
  <c r="Y25" i="3"/>
  <c r="Y24" i="3"/>
  <c r="Y23" i="3"/>
  <c r="Y22" i="3"/>
  <c r="Y21" i="3"/>
  <c r="W28" i="3"/>
  <c r="W27" i="3"/>
  <c r="W26" i="3"/>
  <c r="W25" i="3"/>
  <c r="W24" i="3"/>
  <c r="W23" i="3"/>
  <c r="W22" i="3"/>
  <c r="W21" i="3"/>
  <c r="U28" i="3"/>
  <c r="U27" i="3"/>
  <c r="U26" i="3"/>
  <c r="U25" i="3"/>
  <c r="U24" i="3"/>
  <c r="U23" i="3"/>
  <c r="U22" i="3"/>
  <c r="U21" i="3"/>
  <c r="S28" i="3"/>
  <c r="S27" i="3"/>
  <c r="S26" i="3"/>
  <c r="S25" i="3"/>
  <c r="S24" i="3"/>
  <c r="S23" i="3"/>
  <c r="S22" i="3"/>
  <c r="S21" i="3"/>
  <c r="Q22" i="3"/>
  <c r="Q23" i="3"/>
  <c r="Q24" i="3"/>
  <c r="Q25" i="3"/>
  <c r="Q26" i="3"/>
  <c r="Q27" i="3"/>
  <c r="Q28" i="3"/>
  <c r="Q21" i="3"/>
  <c r="L28" i="2"/>
  <c r="M28" i="2"/>
  <c r="N28" i="2"/>
  <c r="L29" i="2"/>
  <c r="M29" i="2"/>
  <c r="N29" i="2"/>
  <c r="L30" i="2"/>
  <c r="M30" i="2"/>
  <c r="N30" i="2"/>
  <c r="L31" i="2"/>
  <c r="M31" i="2"/>
  <c r="N31" i="2"/>
  <c r="L32" i="2"/>
  <c r="M32" i="2"/>
  <c r="N32" i="2"/>
  <c r="L33" i="2"/>
  <c r="M33" i="2"/>
  <c r="N33" i="2"/>
  <c r="L34" i="2"/>
  <c r="M34" i="2"/>
  <c r="N34" i="2"/>
  <c r="L35" i="2"/>
  <c r="M35" i="2"/>
  <c r="N35" i="2"/>
  <c r="K29" i="2"/>
  <c r="K30" i="2"/>
  <c r="K31" i="2"/>
  <c r="K32" i="2"/>
  <c r="K33" i="2"/>
  <c r="K34" i="2"/>
  <c r="K35" i="2"/>
  <c r="K28" i="2"/>
  <c r="L50" i="2"/>
  <c r="M50" i="2"/>
  <c r="N50" i="2"/>
  <c r="L51" i="2"/>
  <c r="M51" i="2"/>
  <c r="N51" i="2"/>
  <c r="L52" i="2"/>
  <c r="M52" i="2"/>
  <c r="N52" i="2"/>
  <c r="L53" i="2"/>
  <c r="M53" i="2"/>
  <c r="N53" i="2"/>
  <c r="L54" i="2"/>
  <c r="M54" i="2"/>
  <c r="N54" i="2"/>
  <c r="L55" i="2"/>
  <c r="M55" i="2"/>
  <c r="N55" i="2"/>
  <c r="L56" i="2"/>
  <c r="M56" i="2"/>
  <c r="N56" i="2"/>
  <c r="L57" i="2"/>
  <c r="M57" i="2"/>
  <c r="N57" i="2"/>
  <c r="K51" i="2"/>
  <c r="K52" i="2"/>
  <c r="K53" i="2"/>
  <c r="K54" i="2"/>
  <c r="K55" i="2"/>
  <c r="K56" i="2"/>
  <c r="K57" i="2"/>
  <c r="K50" i="2"/>
  <c r="AQ34" i="2"/>
  <c r="AQ35" i="2"/>
  <c r="AQ36" i="2"/>
  <c r="AQ37" i="2"/>
  <c r="AQ38" i="2"/>
  <c r="AQ39" i="2"/>
  <c r="AQ33" i="2"/>
  <c r="AO34" i="2"/>
  <c r="AO35" i="2"/>
  <c r="AO36" i="2"/>
  <c r="AO37" i="2"/>
  <c r="AO38" i="2"/>
  <c r="AO39" i="2"/>
  <c r="AO33" i="2"/>
  <c r="AM34" i="2"/>
  <c r="AM35" i="2"/>
  <c r="AM36" i="2"/>
  <c r="AM37" i="2"/>
  <c r="AM38" i="2"/>
  <c r="AM39" i="2"/>
  <c r="AM33" i="2"/>
  <c r="AK34" i="2"/>
  <c r="AK35" i="2"/>
  <c r="AK36" i="2"/>
  <c r="AK37" i="2"/>
  <c r="AK38" i="2"/>
  <c r="AK39" i="2"/>
  <c r="AK33" i="2"/>
  <c r="AI34" i="2"/>
  <c r="AI35" i="2"/>
  <c r="AI36" i="2"/>
  <c r="AI37" i="2"/>
  <c r="AI38" i="2"/>
  <c r="AI39" i="2"/>
  <c r="AI33" i="2"/>
  <c r="AG34" i="2"/>
  <c r="AG35" i="2"/>
  <c r="AG36" i="2"/>
  <c r="AG37" i="2"/>
  <c r="AG38" i="2"/>
  <c r="AG39" i="2"/>
  <c r="AG33" i="2"/>
  <c r="AG21" i="2"/>
  <c r="AG22" i="2"/>
  <c r="AG23" i="2"/>
  <c r="AG24" i="2"/>
  <c r="AG25" i="2"/>
  <c r="AG26" i="2"/>
  <c r="AG20" i="2"/>
  <c r="AQ26" i="2"/>
  <c r="AO26" i="2"/>
  <c r="AM26" i="2"/>
  <c r="AK26" i="2"/>
  <c r="AI26" i="2"/>
  <c r="AQ25" i="2"/>
  <c r="AO25" i="2"/>
  <c r="AM25" i="2"/>
  <c r="AK25" i="2"/>
  <c r="AI25" i="2"/>
  <c r="AQ24" i="2"/>
  <c r="AO24" i="2"/>
  <c r="AM24" i="2"/>
  <c r="AK24" i="2"/>
  <c r="AI24" i="2"/>
  <c r="AQ23" i="2"/>
  <c r="AO23" i="2"/>
  <c r="AM23" i="2"/>
  <c r="AK23" i="2"/>
  <c r="AI23" i="2"/>
  <c r="AQ22" i="2"/>
  <c r="AO22" i="2"/>
  <c r="AM22" i="2"/>
  <c r="AK22" i="2"/>
  <c r="AI22" i="2"/>
  <c r="AQ21" i="2"/>
  <c r="AO21" i="2"/>
  <c r="AM21" i="2"/>
  <c r="AK21" i="2"/>
  <c r="AI21" i="2"/>
  <c r="AQ20" i="2"/>
  <c r="AO20" i="2"/>
  <c r="AM20" i="2"/>
  <c r="AK20" i="2"/>
  <c r="AI20" i="2"/>
  <c r="E53" i="2"/>
  <c r="F53" i="2"/>
  <c r="G53" i="2"/>
  <c r="H53" i="2"/>
  <c r="D53" i="2"/>
  <c r="E51" i="2"/>
  <c r="F51" i="2"/>
  <c r="G51" i="2"/>
  <c r="H51" i="2"/>
  <c r="D51" i="2"/>
  <c r="E49" i="2"/>
  <c r="F49" i="2"/>
  <c r="G49" i="2"/>
  <c r="H49" i="2"/>
  <c r="D49" i="2"/>
  <c r="E47" i="2"/>
  <c r="F47" i="2"/>
  <c r="G47" i="2"/>
  <c r="H47" i="2"/>
  <c r="D47" i="2"/>
  <c r="E45" i="2"/>
  <c r="F45" i="2"/>
  <c r="G45" i="2"/>
  <c r="H45" i="2"/>
  <c r="D45" i="2"/>
  <c r="E43" i="2"/>
  <c r="F43" i="2"/>
  <c r="G43" i="2"/>
  <c r="H43" i="2"/>
  <c r="D43" i="2"/>
  <c r="E41" i="2"/>
  <c r="F41" i="2"/>
  <c r="G41" i="2"/>
  <c r="H41" i="2"/>
  <c r="D41" i="2"/>
  <c r="E39" i="2"/>
  <c r="F39" i="2"/>
  <c r="G39" i="2"/>
  <c r="H39" i="2"/>
  <c r="D39" i="2"/>
  <c r="H34" i="2"/>
  <c r="G34" i="2"/>
  <c r="F34" i="2"/>
  <c r="E34" i="2"/>
  <c r="D34" i="2"/>
  <c r="H32" i="2"/>
  <c r="G32" i="2"/>
  <c r="F32" i="2"/>
  <c r="E32" i="2"/>
  <c r="D32" i="2"/>
  <c r="H30" i="2"/>
  <c r="G30" i="2"/>
  <c r="F30" i="2"/>
  <c r="E30" i="2"/>
  <c r="D30" i="2"/>
  <c r="H28" i="2"/>
  <c r="G28" i="2"/>
  <c r="F28" i="2"/>
  <c r="E28" i="2"/>
  <c r="D28" i="2"/>
  <c r="H26" i="2"/>
  <c r="G26" i="2"/>
  <c r="F26" i="2"/>
  <c r="E26" i="2"/>
  <c r="D26" i="2"/>
  <c r="H24" i="2"/>
  <c r="G24" i="2"/>
  <c r="F24" i="2"/>
  <c r="E24" i="2"/>
  <c r="D24" i="2"/>
  <c r="H22" i="2"/>
  <c r="G22" i="2"/>
  <c r="F22" i="2"/>
  <c r="E22" i="2"/>
  <c r="D22" i="2"/>
  <c r="H20" i="2"/>
  <c r="G20" i="2"/>
  <c r="F20" i="2"/>
  <c r="E20" i="2"/>
  <c r="D20" i="2"/>
</calcChain>
</file>

<file path=xl/sharedStrings.xml><?xml version="1.0" encoding="utf-8"?>
<sst xmlns="http://schemas.openxmlformats.org/spreadsheetml/2006/main" count="254" uniqueCount="89">
  <si>
    <t>1a</t>
    <phoneticPr fontId="1" type="noConversion"/>
  </si>
  <si>
    <t>2a</t>
    <phoneticPr fontId="1" type="noConversion"/>
  </si>
  <si>
    <t>3a</t>
    <phoneticPr fontId="1" type="noConversion"/>
  </si>
  <si>
    <t>5a</t>
    <phoneticPr fontId="1" type="noConversion"/>
  </si>
  <si>
    <t>10a</t>
    <phoneticPr fontId="1" type="noConversion"/>
  </si>
  <si>
    <t>30a</t>
    <phoneticPr fontId="1" type="noConversion"/>
  </si>
  <si>
    <t>50a</t>
    <phoneticPr fontId="1" type="noConversion"/>
  </si>
  <si>
    <t>100a</t>
    <phoneticPr fontId="1" type="noConversion"/>
  </si>
  <si>
    <t>无干旱</t>
    <phoneticPr fontId="1" type="noConversion"/>
  </si>
  <si>
    <r>
      <rPr>
        <sz val="11"/>
        <color theme="1"/>
        <rFont val="宋体"/>
        <family val="3"/>
        <charset val="134"/>
      </rPr>
      <t>轻度干旱</t>
    </r>
    <phoneticPr fontId="1" type="noConversion"/>
  </si>
  <si>
    <r>
      <rPr>
        <sz val="11"/>
        <color theme="1"/>
        <rFont val="宋体"/>
        <family val="3"/>
        <charset val="134"/>
      </rPr>
      <t>中度干旱</t>
    </r>
    <phoneticPr fontId="1" type="noConversion"/>
  </si>
  <si>
    <r>
      <rPr>
        <sz val="11"/>
        <color theme="1"/>
        <rFont val="宋体"/>
        <family val="3"/>
        <charset val="134"/>
      </rPr>
      <t>严重干旱</t>
    </r>
    <phoneticPr fontId="1" type="noConversion"/>
  </si>
  <si>
    <r>
      <rPr>
        <sz val="11"/>
        <color theme="1"/>
        <rFont val="宋体"/>
        <family val="3"/>
        <charset val="134"/>
      </rPr>
      <t>特大干旱</t>
    </r>
    <phoneticPr fontId="1" type="noConversion"/>
  </si>
  <si>
    <r>
      <rPr>
        <sz val="11"/>
        <color theme="1"/>
        <rFont val="宋体"/>
        <family val="3"/>
        <charset val="134"/>
      </rPr>
      <t>极端干旱</t>
    </r>
    <phoneticPr fontId="1" type="noConversion"/>
  </si>
  <si>
    <r>
      <t>×10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</t>
    </r>
    <phoneticPr fontId="1" type="noConversion"/>
  </si>
  <si>
    <t>最大积水时刻积水量</t>
    <phoneticPr fontId="1" type="noConversion"/>
  </si>
  <si>
    <r>
      <t xml:space="preserve"> </t>
    </r>
    <r>
      <rPr>
        <sz val="11"/>
        <color theme="1"/>
        <rFont val="宋体"/>
        <family val="1"/>
        <charset val="134"/>
      </rPr>
      <t>重现期</t>
    </r>
    <phoneticPr fontId="1" type="noConversion"/>
  </si>
  <si>
    <r>
      <t>1</t>
    </r>
    <r>
      <rPr>
        <sz val="11"/>
        <color theme="1"/>
        <rFont val="宋体"/>
        <family val="1"/>
        <charset val="134"/>
      </rPr>
      <t>年一遇</t>
    </r>
    <phoneticPr fontId="1" type="noConversion"/>
  </si>
  <si>
    <r>
      <t>2</t>
    </r>
    <r>
      <rPr>
        <sz val="11"/>
        <color theme="1"/>
        <rFont val="宋体"/>
        <family val="1"/>
        <charset val="134"/>
      </rPr>
      <t>年一遇</t>
    </r>
    <phoneticPr fontId="1" type="noConversion"/>
  </si>
  <si>
    <r>
      <t>3</t>
    </r>
    <r>
      <rPr>
        <sz val="11"/>
        <color theme="1"/>
        <rFont val="宋体"/>
        <family val="1"/>
        <charset val="134"/>
      </rPr>
      <t>年一遇</t>
    </r>
    <phoneticPr fontId="1" type="noConversion"/>
  </si>
  <si>
    <r>
      <t>5</t>
    </r>
    <r>
      <rPr>
        <sz val="11"/>
        <color theme="1"/>
        <rFont val="宋体"/>
        <family val="1"/>
        <charset val="134"/>
      </rPr>
      <t>年一遇</t>
    </r>
    <phoneticPr fontId="1" type="noConversion"/>
  </si>
  <si>
    <r>
      <rPr>
        <sz val="11"/>
        <color theme="1"/>
        <rFont val="宋体"/>
        <family val="3"/>
        <charset val="134"/>
      </rPr>
      <t>固定重现期下，不同干旱等级</t>
    </r>
    <r>
      <rPr>
        <sz val="11"/>
        <color theme="1"/>
        <rFont val="等线"/>
        <family val="3"/>
        <charset val="134"/>
      </rPr>
      <t>最大地表积水</t>
    </r>
    <r>
      <rPr>
        <sz val="11"/>
        <color theme="1"/>
        <rFont val="宋体"/>
        <family val="3"/>
        <charset val="134"/>
      </rPr>
      <t>削减率（较前者）</t>
    </r>
    <phoneticPr fontId="1" type="noConversion"/>
  </si>
  <si>
    <t>无→轻度</t>
    <phoneticPr fontId="1" type="noConversion"/>
  </si>
  <si>
    <t>轻度→中度</t>
    <phoneticPr fontId="1" type="noConversion"/>
  </si>
  <si>
    <t>中度→严重</t>
    <phoneticPr fontId="1" type="noConversion"/>
  </si>
  <si>
    <t>严重→特大</t>
    <phoneticPr fontId="1" type="noConversion"/>
  </si>
  <si>
    <t>特大→极端</t>
    <phoneticPr fontId="1" type="noConversion"/>
  </si>
  <si>
    <r>
      <rPr>
        <sz val="11"/>
        <color theme="1"/>
        <rFont val="宋体"/>
        <family val="3"/>
        <charset val="134"/>
      </rPr>
      <t>重现期</t>
    </r>
    <phoneticPr fontId="1" type="noConversion"/>
  </si>
  <si>
    <r>
      <rPr>
        <sz val="11"/>
        <color theme="1"/>
        <rFont val="宋体"/>
        <family val="3"/>
        <charset val="134"/>
      </rPr>
      <t>无干旱</t>
    </r>
    <phoneticPr fontId="1" type="noConversion"/>
  </si>
  <si>
    <r>
      <t>10</t>
    </r>
    <r>
      <rPr>
        <sz val="11"/>
        <color theme="1"/>
        <rFont val="宋体"/>
        <family val="3"/>
        <charset val="134"/>
      </rPr>
      <t>年一遇</t>
    </r>
    <phoneticPr fontId="1" type="noConversion"/>
  </si>
  <si>
    <r>
      <t>30</t>
    </r>
    <r>
      <rPr>
        <sz val="11"/>
        <color theme="1"/>
        <rFont val="宋体"/>
        <family val="3"/>
        <charset val="134"/>
      </rPr>
      <t>年一遇</t>
    </r>
    <phoneticPr fontId="1" type="noConversion"/>
  </si>
  <si>
    <r>
      <t>50</t>
    </r>
    <r>
      <rPr>
        <sz val="11"/>
        <color theme="1"/>
        <rFont val="宋体"/>
        <family val="3"/>
        <charset val="134"/>
      </rPr>
      <t>年一遇</t>
    </r>
    <phoneticPr fontId="1" type="noConversion"/>
  </si>
  <si>
    <r>
      <t>100</t>
    </r>
    <r>
      <rPr>
        <sz val="11"/>
        <color theme="1"/>
        <rFont val="宋体"/>
        <family val="3"/>
        <charset val="134"/>
      </rPr>
      <t>年一遇</t>
    </r>
    <phoneticPr fontId="1" type="noConversion"/>
  </si>
  <si>
    <r>
      <rPr>
        <sz val="11"/>
        <color theme="1"/>
        <rFont val="宋体"/>
        <family val="3"/>
        <charset val="134"/>
      </rPr>
      <t>固定重现期下，不同干旱等级</t>
    </r>
    <r>
      <rPr>
        <sz val="11"/>
        <color theme="1"/>
        <rFont val="等线"/>
        <family val="3"/>
        <charset val="134"/>
      </rPr>
      <t>最大地表积水</t>
    </r>
    <r>
      <rPr>
        <sz val="11"/>
        <color theme="1"/>
        <rFont val="宋体"/>
        <family val="3"/>
        <charset val="134"/>
      </rPr>
      <t>削减率（较无干旱）</t>
    </r>
    <phoneticPr fontId="1" type="noConversion"/>
  </si>
  <si>
    <r>
      <rPr>
        <sz val="11"/>
        <color theme="1"/>
        <rFont val="等线"/>
        <family val="3"/>
        <charset val="134"/>
      </rPr>
      <t>无→</t>
    </r>
    <r>
      <rPr>
        <sz val="11"/>
        <color theme="1"/>
        <rFont val="宋体"/>
        <family val="3"/>
        <charset val="134"/>
      </rPr>
      <t>轻度</t>
    </r>
    <phoneticPr fontId="1" type="noConversion"/>
  </si>
  <si>
    <r>
      <rPr>
        <sz val="11"/>
        <color theme="1"/>
        <rFont val="等线"/>
        <family val="3"/>
        <charset val="134"/>
      </rPr>
      <t>无→</t>
    </r>
    <r>
      <rPr>
        <sz val="11"/>
        <color theme="1"/>
        <rFont val="宋体"/>
        <family val="3"/>
        <charset val="134"/>
      </rPr>
      <t>中度</t>
    </r>
    <phoneticPr fontId="1" type="noConversion"/>
  </si>
  <si>
    <r>
      <rPr>
        <sz val="11"/>
        <color theme="1"/>
        <rFont val="等线"/>
        <family val="3"/>
        <charset val="134"/>
      </rPr>
      <t>无→</t>
    </r>
    <r>
      <rPr>
        <sz val="11"/>
        <color theme="1"/>
        <rFont val="宋体"/>
        <family val="3"/>
        <charset val="134"/>
      </rPr>
      <t>严重</t>
    </r>
    <phoneticPr fontId="1" type="noConversion"/>
  </si>
  <si>
    <r>
      <rPr>
        <sz val="11"/>
        <color theme="1"/>
        <rFont val="等线"/>
        <family val="3"/>
        <charset val="134"/>
      </rPr>
      <t>无→</t>
    </r>
    <r>
      <rPr>
        <sz val="11"/>
        <color theme="1"/>
        <rFont val="宋体"/>
        <family val="3"/>
        <charset val="134"/>
      </rPr>
      <t>特大</t>
    </r>
    <phoneticPr fontId="1" type="noConversion"/>
  </si>
  <si>
    <r>
      <rPr>
        <sz val="11"/>
        <color theme="1"/>
        <rFont val="等线"/>
        <family val="3"/>
        <charset val="134"/>
      </rPr>
      <t>无→</t>
    </r>
    <r>
      <rPr>
        <sz val="11"/>
        <color theme="1"/>
        <rFont val="宋体"/>
        <family val="3"/>
        <charset val="134"/>
      </rPr>
      <t>极端</t>
    </r>
    <phoneticPr fontId="1" type="noConversion"/>
  </si>
  <si>
    <t>固定干旱场景，不同重现期径流量增加率（较前者）；以及不同干旱场景下，增加率对比</t>
    <phoneticPr fontId="1" type="noConversion"/>
  </si>
  <si>
    <t>1a→2a</t>
    <phoneticPr fontId="1" type="noConversion"/>
  </si>
  <si>
    <t>2a→3a</t>
    <phoneticPr fontId="1" type="noConversion"/>
  </si>
  <si>
    <t>3a→5a</t>
    <phoneticPr fontId="1" type="noConversion"/>
  </si>
  <si>
    <t>5a→10a</t>
    <phoneticPr fontId="1" type="noConversion"/>
  </si>
  <si>
    <t>10a→30a</t>
    <phoneticPr fontId="1" type="noConversion"/>
  </si>
  <si>
    <t>30a→50a</t>
    <phoneticPr fontId="1" type="noConversion"/>
  </si>
  <si>
    <t>50a→100a</t>
    <phoneticPr fontId="1" type="noConversion"/>
  </si>
  <si>
    <t>固定干旱场景，不同重现期径流量增加率（较1a）；以及不同干旱场景下，增加率对比</t>
    <phoneticPr fontId="1" type="noConversion"/>
  </si>
  <si>
    <t>1a→3a</t>
    <phoneticPr fontId="1" type="noConversion"/>
  </si>
  <si>
    <t>1a→5a</t>
    <phoneticPr fontId="1" type="noConversion"/>
  </si>
  <si>
    <t>1a→10a</t>
    <phoneticPr fontId="1" type="noConversion"/>
  </si>
  <si>
    <t>1a→30a</t>
    <phoneticPr fontId="1" type="noConversion"/>
  </si>
  <si>
    <t>1a→50a</t>
    <phoneticPr fontId="1" type="noConversion"/>
  </si>
  <si>
    <t>1a→100a</t>
    <phoneticPr fontId="1" type="noConversion"/>
  </si>
  <si>
    <t>1a</t>
  </si>
  <si>
    <t>2a</t>
  </si>
  <si>
    <t>3a</t>
  </si>
  <si>
    <t>5a</t>
  </si>
  <si>
    <t>10a</t>
  </si>
  <si>
    <t>30a</t>
  </si>
  <si>
    <t>50a</t>
  </si>
  <si>
    <t>100a</t>
  </si>
  <si>
    <r>
      <rPr>
        <sz val="11"/>
        <color theme="1"/>
        <rFont val="等线"/>
        <family val="2"/>
      </rPr>
      <t>消退速率</t>
    </r>
  </si>
  <si>
    <r>
      <t xml:space="preserve"> </t>
    </r>
    <r>
      <rPr>
        <sz val="11"/>
        <color theme="1"/>
        <rFont val="等线"/>
        <family val="2"/>
      </rPr>
      <t>重现期</t>
    </r>
  </si>
  <si>
    <r>
      <rPr>
        <sz val="11"/>
        <color theme="1"/>
        <rFont val="等线"/>
        <family val="2"/>
      </rPr>
      <t>正常干旱</t>
    </r>
  </si>
  <si>
    <r>
      <rPr>
        <sz val="11"/>
        <color theme="1"/>
        <rFont val="等线"/>
        <family val="2"/>
      </rPr>
      <t>轻度干旱</t>
    </r>
  </si>
  <si>
    <r>
      <rPr>
        <sz val="11"/>
        <color theme="1"/>
        <rFont val="等线"/>
        <family val="2"/>
      </rPr>
      <t>中度干旱</t>
    </r>
  </si>
  <si>
    <r>
      <rPr>
        <sz val="11"/>
        <color theme="1"/>
        <rFont val="等线"/>
        <family val="2"/>
      </rPr>
      <t>严重干旱</t>
    </r>
  </si>
  <si>
    <r>
      <rPr>
        <sz val="11"/>
        <color theme="1"/>
        <rFont val="等线"/>
        <family val="2"/>
      </rPr>
      <t>特大干旱</t>
    </r>
  </si>
  <si>
    <r>
      <rPr>
        <sz val="11"/>
        <color theme="1"/>
        <rFont val="等线"/>
        <family val="2"/>
      </rPr>
      <t>极端干旱</t>
    </r>
  </si>
  <si>
    <t>正常干旱</t>
  </si>
  <si>
    <t>轻度干旱</t>
  </si>
  <si>
    <t>中度干旱</t>
  </si>
  <si>
    <t>严重干旱</t>
  </si>
  <si>
    <t>特大干旱</t>
  </si>
  <si>
    <t>极端干旱</t>
  </si>
  <si>
    <t xml:space="preserve"> 重现期</t>
  </si>
  <si>
    <t>较无干旱相比，不同干旱情况下积水消退速率增长率</t>
    <phoneticPr fontId="1" type="noConversion"/>
  </si>
  <si>
    <t>D0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</si>
  <si>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</si>
  <si>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</si>
  <si>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</si>
  <si>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</si>
  <si>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</si>
  <si>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D0→D1</t>
    <phoneticPr fontId="1" type="noConversion"/>
  </si>
  <si>
    <t>D1→D2</t>
    <phoneticPr fontId="1" type="noConversion"/>
  </si>
  <si>
    <t>D2→D3</t>
    <phoneticPr fontId="1" type="noConversion"/>
  </si>
  <si>
    <t>D3→D4</t>
    <phoneticPr fontId="1" type="noConversion"/>
  </si>
  <si>
    <t>D4→D5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</si>
</sst>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宋体"/>
      <family val="3"/>
      <charset val="134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3"/>
      <charset val="134"/>
    </font>
    <font>
      <sz val="11"/>
      <color theme="1"/>
      <name val="等线"/>
      <family val="3"/>
      <charset val="134"/>
    </font>
    <font>
      <b/>
      <sz val="11"/>
      <color theme="5"/>
      <name val="Times New Roman"/>
      <family val="1"/>
    </font>
    <font>
      <b/>
      <sz val="11"/>
      <color rgb="FF00B0F0"/>
      <name val="Times New Roman"/>
      <family val="1"/>
    </font>
    <font>
      <sz val="11"/>
      <color theme="1"/>
      <name val="等线"/>
      <family val="2"/>
    </font>
    <font>
      <sz val="11"/>
      <color theme="1"/>
      <name val="Times New Roman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76" fontId="6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6" fillId="2" borderId="0" xfId="0" applyFont="1" applyFill="1"/>
    <xf numFmtId="176" fontId="2" fillId="2" borderId="0" xfId="0" applyNumberFormat="1" applyFont="1" applyFill="1"/>
    <xf numFmtId="176" fontId="2" fillId="0" borderId="0" xfId="0" applyNumberFormat="1" applyFont="1"/>
    <xf numFmtId="0" fontId="2" fillId="0" borderId="0" xfId="0" applyFont="1"/>
    <xf numFmtId="176" fontId="3" fillId="0" borderId="0" xfId="0" applyNumberFormat="1" applyFont="1"/>
    <xf numFmtId="9" fontId="8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76" fontId="9" fillId="0" borderId="0" xfId="0" applyNumberFormat="1" applyFont="1" applyAlignment="1">
      <alignment horizontal="center"/>
    </xf>
    <xf numFmtId="177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/>
    <xf numFmtId="0" fontId="2" fillId="4" borderId="0" xfId="0" applyFont="1" applyFill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177" fontId="9" fillId="4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903551468780405E-2"/>
          <c:y val="5.4430960735679046E-2"/>
          <c:w val="0.87212285357769681"/>
          <c:h val="0.81160263918078479"/>
        </c:manualLayout>
      </c:layout>
      <c:lineChart>
        <c:grouping val="standard"/>
        <c:varyColors val="0"/>
        <c:ser>
          <c:idx val="0"/>
          <c:order val="0"/>
          <c:tx>
            <c:strRef>
              <c:f>积水峰值规律!$K$37</c:f>
              <c:strCache>
                <c:ptCount val="1"/>
                <c:pt idx="0">
                  <c:v>无→轻度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积水峰值规律!$J$38:$J$45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积水峰值规律!$K$38:$K$45</c:f>
              <c:numCache>
                <c:formatCode>0%</c:formatCode>
                <c:ptCount val="8"/>
                <c:pt idx="0">
                  <c:v>0.43445765225865768</c:v>
                </c:pt>
                <c:pt idx="1">
                  <c:v>0.26005973923139997</c:v>
                </c:pt>
                <c:pt idx="2">
                  <c:v>0.23548718241655442</c:v>
                </c:pt>
                <c:pt idx="3">
                  <c:v>0.21851233936487738</c:v>
                </c:pt>
                <c:pt idx="4">
                  <c:v>0.22402172268183163</c:v>
                </c:pt>
                <c:pt idx="5">
                  <c:v>0.21442343406862122</c:v>
                </c:pt>
                <c:pt idx="6">
                  <c:v>0.19952909836471872</c:v>
                </c:pt>
                <c:pt idx="7">
                  <c:v>0.18275366788775244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D-47C3-B5F1-5A9F2C076C45}"/>
            </c:ext>
          </c:extLst>
        </c:ser>
        <c:ser>
          <c:idx val="1"/>
          <c:order val="1"/>
          <c:tx>
            <c:strRef>
              <c:f>积水峰值规律!$L$37</c:f>
              <c:strCache>
                <c:ptCount val="1"/>
                <c:pt idx="0">
                  <c:v>无→中度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积水峰值规律!$J$38:$J$45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积水峰值规律!$L$38:$L$45</c:f>
              <c:numCache>
                <c:formatCode>0%</c:formatCode>
                <c:ptCount val="8"/>
                <c:pt idx="0">
                  <c:v>0.60402699015867645</c:v>
                </c:pt>
                <c:pt idx="1">
                  <c:v>0.35709789600332231</c:v>
                </c:pt>
                <c:pt idx="2">
                  <c:v>0.31300989109852551</c:v>
                </c:pt>
                <c:pt idx="3">
                  <c:v>0.2831208128776817</c:v>
                </c:pt>
                <c:pt idx="4">
                  <c:v>0.28918135478231061</c:v>
                </c:pt>
                <c:pt idx="5">
                  <c:v>0.28410816020738622</c:v>
                </c:pt>
                <c:pt idx="6">
                  <c:v>0.27379378041955205</c:v>
                </c:pt>
                <c:pt idx="7">
                  <c:v>0.25127814587941688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DD-47C3-B5F1-5A9F2C076C45}"/>
            </c:ext>
          </c:extLst>
        </c:ser>
        <c:ser>
          <c:idx val="2"/>
          <c:order val="2"/>
          <c:tx>
            <c:strRef>
              <c:f>积水峰值规律!$M$37</c:f>
              <c:strCache>
                <c:ptCount val="1"/>
                <c:pt idx="0">
                  <c:v>无→严重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积水峰值规律!$J$38:$J$45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积水峰值规律!$M$38:$M$45</c:f>
              <c:numCache>
                <c:formatCode>0%</c:formatCode>
                <c:ptCount val="8"/>
                <c:pt idx="0">
                  <c:v>0.61570144755384248</c:v>
                </c:pt>
                <c:pt idx="1">
                  <c:v>0.36496309258926762</c:v>
                </c:pt>
                <c:pt idx="2">
                  <c:v>0.31924801871323766</c:v>
                </c:pt>
                <c:pt idx="3">
                  <c:v>0.28823592135067838</c:v>
                </c:pt>
                <c:pt idx="4">
                  <c:v>0.2933825715798109</c:v>
                </c:pt>
                <c:pt idx="5">
                  <c:v>0.28900705070627986</c:v>
                </c:pt>
                <c:pt idx="6">
                  <c:v>0.27956765771944508</c:v>
                </c:pt>
                <c:pt idx="7">
                  <c:v>0.25665669784680584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DD-47C3-B5F1-5A9F2C076C45}"/>
            </c:ext>
          </c:extLst>
        </c:ser>
        <c:ser>
          <c:idx val="3"/>
          <c:order val="3"/>
          <c:tx>
            <c:strRef>
              <c:f>积水峰值规律!$N$37</c:f>
              <c:strCache>
                <c:ptCount val="1"/>
                <c:pt idx="0">
                  <c:v>无→特大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积水峰值规律!$J$38:$J$45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积水峰值规律!$N$38:$N$45</c:f>
              <c:numCache>
                <c:formatCode>0%</c:formatCode>
                <c:ptCount val="8"/>
                <c:pt idx="0">
                  <c:v>0.62701883439398398</c:v>
                </c:pt>
                <c:pt idx="1">
                  <c:v>0.37277519182830038</c:v>
                </c:pt>
                <c:pt idx="2">
                  <c:v>0.32545882609195803</c:v>
                </c:pt>
                <c:pt idx="3">
                  <c:v>0.29330860356036509</c:v>
                </c:pt>
                <c:pt idx="4">
                  <c:v>0.29755693924692911</c:v>
                </c:pt>
                <c:pt idx="5">
                  <c:v>0.2941724695781916</c:v>
                </c:pt>
                <c:pt idx="6">
                  <c:v>0.28474386021321951</c:v>
                </c:pt>
                <c:pt idx="7">
                  <c:v>0.26243564875799041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DD-47C3-B5F1-5A9F2C076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256399"/>
        <c:axId val="79622399"/>
      </c:lineChart>
      <c:catAx>
        <c:axId val="176425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622399"/>
        <c:crosses val="autoZero"/>
        <c:auto val="1"/>
        <c:lblAlgn val="ctr"/>
        <c:lblOffset val="100"/>
        <c:noMultiLvlLbl val="0"/>
      </c:catAx>
      <c:valAx>
        <c:axId val="7962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425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718531319301452"/>
          <c:y val="6.0446809223573775E-2"/>
          <c:w val="0.86782595635261339"/>
          <c:h val="8.3502626478928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746830331197689E-2"/>
          <c:y val="5.2110260387175131E-2"/>
          <c:w val="0.88459240719248378"/>
          <c:h val="0.84711140554465092"/>
        </c:manualLayout>
      </c:layout>
      <c:lineChart>
        <c:grouping val="standard"/>
        <c:varyColors val="0"/>
        <c:ser>
          <c:idx val="0"/>
          <c:order val="0"/>
          <c:tx>
            <c:strRef>
              <c:f>积水峰值规律!$J$38</c:f>
              <c:strCache>
                <c:ptCount val="1"/>
                <c:pt idx="0">
                  <c:v>1a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积水峰值规律!$K$37:$N$37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积水峰值规律!$K$38:$N$38</c:f>
              <c:numCache>
                <c:formatCode>0%</c:formatCode>
                <c:ptCount val="4"/>
                <c:pt idx="0">
                  <c:v>0.43445765225865768</c:v>
                </c:pt>
                <c:pt idx="1">
                  <c:v>0.60402699015867645</c:v>
                </c:pt>
                <c:pt idx="2">
                  <c:v>0.61570144755384248</c:v>
                </c:pt>
                <c:pt idx="3">
                  <c:v>0.62701883439398398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F-48CC-9C00-AF8C887EE559}"/>
            </c:ext>
          </c:extLst>
        </c:ser>
        <c:ser>
          <c:idx val="1"/>
          <c:order val="1"/>
          <c:tx>
            <c:strRef>
              <c:f>积水峰值规律!$J$39</c:f>
              <c:strCache>
                <c:ptCount val="1"/>
                <c:pt idx="0">
                  <c:v>2a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积水峰值规律!$K$37:$N$37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积水峰值规律!$K$39:$N$39</c:f>
              <c:numCache>
                <c:formatCode>0%</c:formatCode>
                <c:ptCount val="4"/>
                <c:pt idx="0">
                  <c:v>0.26005973923139997</c:v>
                </c:pt>
                <c:pt idx="1">
                  <c:v>0.35709789600332231</c:v>
                </c:pt>
                <c:pt idx="2">
                  <c:v>0.36496309258926762</c:v>
                </c:pt>
                <c:pt idx="3">
                  <c:v>0.37277519182830038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FF-48CC-9C00-AF8C887EE559}"/>
            </c:ext>
          </c:extLst>
        </c:ser>
        <c:ser>
          <c:idx val="2"/>
          <c:order val="2"/>
          <c:tx>
            <c:strRef>
              <c:f>积水峰值规律!$J$40</c:f>
              <c:strCache>
                <c:ptCount val="1"/>
                <c:pt idx="0">
                  <c:v>3a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积水峰值规律!$K$37:$N$37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积水峰值规律!$K$40:$N$40</c:f>
              <c:numCache>
                <c:formatCode>0%</c:formatCode>
                <c:ptCount val="4"/>
                <c:pt idx="0">
                  <c:v>0.23548718241655442</c:v>
                </c:pt>
                <c:pt idx="1">
                  <c:v>0.31300989109852551</c:v>
                </c:pt>
                <c:pt idx="2">
                  <c:v>0.31924801871323766</c:v>
                </c:pt>
                <c:pt idx="3">
                  <c:v>0.32545882609195803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FF-48CC-9C00-AF8C887EE559}"/>
            </c:ext>
          </c:extLst>
        </c:ser>
        <c:ser>
          <c:idx val="3"/>
          <c:order val="3"/>
          <c:tx>
            <c:strRef>
              <c:f>积水峰值规律!$J$41</c:f>
              <c:strCache>
                <c:ptCount val="1"/>
                <c:pt idx="0">
                  <c:v>5a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积水峰值规律!$K$37:$N$37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积水峰值规律!$K$41:$N$41</c:f>
              <c:numCache>
                <c:formatCode>0%</c:formatCode>
                <c:ptCount val="4"/>
                <c:pt idx="0">
                  <c:v>0.21851233936487738</c:v>
                </c:pt>
                <c:pt idx="1">
                  <c:v>0.2831208128776817</c:v>
                </c:pt>
                <c:pt idx="2">
                  <c:v>0.28823592135067838</c:v>
                </c:pt>
                <c:pt idx="3">
                  <c:v>0.29330860356036509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FF-48CC-9C00-AF8C887EE559}"/>
            </c:ext>
          </c:extLst>
        </c:ser>
        <c:ser>
          <c:idx val="4"/>
          <c:order val="4"/>
          <c:tx>
            <c:strRef>
              <c:f>积水峰值规律!$J$42</c:f>
              <c:strCache>
                <c:ptCount val="1"/>
                <c:pt idx="0">
                  <c:v>10a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积水峰值规律!$K$37:$N$37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积水峰值规律!$K$42:$N$42</c:f>
              <c:numCache>
                <c:formatCode>0%</c:formatCode>
                <c:ptCount val="4"/>
                <c:pt idx="0">
                  <c:v>0.22402172268183163</c:v>
                </c:pt>
                <c:pt idx="1">
                  <c:v>0.28918135478231061</c:v>
                </c:pt>
                <c:pt idx="2">
                  <c:v>0.2933825715798109</c:v>
                </c:pt>
                <c:pt idx="3">
                  <c:v>0.29755693924692911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8FF-48CC-9C00-AF8C887EE559}"/>
            </c:ext>
          </c:extLst>
        </c:ser>
        <c:ser>
          <c:idx val="5"/>
          <c:order val="5"/>
          <c:tx>
            <c:strRef>
              <c:f>积水峰值规律!$J$43</c:f>
              <c:strCache>
                <c:ptCount val="1"/>
                <c:pt idx="0">
                  <c:v>30a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积水峰值规律!$K$37:$N$37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积水峰值规律!$K$43:$N$43</c:f>
              <c:numCache>
                <c:formatCode>0%</c:formatCode>
                <c:ptCount val="4"/>
                <c:pt idx="0">
                  <c:v>0.21442343406862122</c:v>
                </c:pt>
                <c:pt idx="1">
                  <c:v>0.28410816020738622</c:v>
                </c:pt>
                <c:pt idx="2">
                  <c:v>0.28900705070627986</c:v>
                </c:pt>
                <c:pt idx="3">
                  <c:v>0.2941724695781916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FF-48CC-9C00-AF8C887EE559}"/>
            </c:ext>
          </c:extLst>
        </c:ser>
        <c:ser>
          <c:idx val="6"/>
          <c:order val="6"/>
          <c:tx>
            <c:strRef>
              <c:f>积水峰值规律!$J$44</c:f>
              <c:strCache>
                <c:ptCount val="1"/>
                <c:pt idx="0">
                  <c:v>50a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积水峰值规律!$K$37:$N$37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积水峰值规律!$K$44:$N$44</c:f>
              <c:numCache>
                <c:formatCode>0%</c:formatCode>
                <c:ptCount val="4"/>
                <c:pt idx="0">
                  <c:v>0.19952909836471872</c:v>
                </c:pt>
                <c:pt idx="1">
                  <c:v>0.27379378041955205</c:v>
                </c:pt>
                <c:pt idx="2">
                  <c:v>0.27956765771944508</c:v>
                </c:pt>
                <c:pt idx="3">
                  <c:v>0.28474386021321951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8FF-48CC-9C00-AF8C887EE559}"/>
            </c:ext>
          </c:extLst>
        </c:ser>
        <c:ser>
          <c:idx val="7"/>
          <c:order val="7"/>
          <c:tx>
            <c:strRef>
              <c:f>积水峰值规律!$J$45</c:f>
              <c:strCache>
                <c:ptCount val="1"/>
                <c:pt idx="0">
                  <c:v>100a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积水峰值规律!$K$37:$N$37</c:f>
              <c:strCache>
                <c:ptCount val="4"/>
                <c:pt idx="0">
                  <c:v>无→轻度</c:v>
                </c:pt>
                <c:pt idx="1">
                  <c:v>无→中度</c:v>
                </c:pt>
                <c:pt idx="2">
                  <c:v>无→严重</c:v>
                </c:pt>
                <c:pt idx="3">
                  <c:v>无→特大</c:v>
                </c:pt>
              </c:strCache>
            </c:strRef>
          </c:cat>
          <c:val>
            <c:numRef>
              <c:f>积水峰值规律!$K$45:$N$45</c:f>
              <c:numCache>
                <c:formatCode>0%</c:formatCode>
                <c:ptCount val="4"/>
                <c:pt idx="0">
                  <c:v>0.18275366788775244</c:v>
                </c:pt>
                <c:pt idx="1">
                  <c:v>0.25127814587941688</c:v>
                </c:pt>
                <c:pt idx="2">
                  <c:v>0.25665669784680584</c:v>
                </c:pt>
                <c:pt idx="3">
                  <c:v>0.26243564875799041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FF-48CC-9C00-AF8C887EE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2321343"/>
        <c:axId val="2122320383"/>
      </c:lineChart>
      <c:catAx>
        <c:axId val="212232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2320383"/>
        <c:crosses val="autoZero"/>
        <c:auto val="1"/>
        <c:lblAlgn val="ctr"/>
        <c:lblOffset val="100"/>
        <c:noMultiLvlLbl val="0"/>
      </c:catAx>
      <c:valAx>
        <c:axId val="212232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232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384902526429271E-2"/>
          <c:y val="3.8920433563334737E-2"/>
          <c:w val="0.89999982441939896"/>
          <c:h val="7.9942436253522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05797059420583"/>
          <c:y val="5.8733394575657787E-2"/>
          <c:w val="0.8195126613705539"/>
          <c:h val="0.755737997005759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积水峰值规律!$C$4</c:f>
              <c:strCache>
                <c:ptCount val="1"/>
                <c:pt idx="0">
                  <c:v>D0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积水峰值规律!$C$5:$C$12</c:f>
              <c:numCache>
                <c:formatCode>0.00_ </c:formatCode>
                <c:ptCount val="8"/>
                <c:pt idx="0">
                  <c:v>14.47560552749972</c:v>
                </c:pt>
                <c:pt idx="1">
                  <c:v>37.019222509999466</c:v>
                </c:pt>
                <c:pt idx="2">
                  <c:v>51.084844232499584</c:v>
                </c:pt>
                <c:pt idx="3">
                  <c:v>69.043436100000008</c:v>
                </c:pt>
                <c:pt idx="4">
                  <c:v>97.464348482000005</c:v>
                </c:pt>
                <c:pt idx="5">
                  <c:v>148.28103121799998</c:v>
                </c:pt>
                <c:pt idx="6">
                  <c:v>173.029197385</c:v>
                </c:pt>
                <c:pt idx="7">
                  <c:v>207.11911528499999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E-4BC5-9342-49111B080740}"/>
            </c:ext>
          </c:extLst>
        </c:ser>
        <c:ser>
          <c:idx val="1"/>
          <c:order val="1"/>
          <c:tx>
            <c:strRef>
              <c:f>积水峰值规律!$D$4</c:f>
              <c:strCache>
                <c:ptCount val="1"/>
                <c:pt idx="0">
                  <c:v>D1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积水峰值规律!$D$5:$D$12</c:f>
              <c:numCache>
                <c:formatCode>0.00_ </c:formatCode>
                <c:ptCount val="8"/>
                <c:pt idx="0">
                  <c:v>8.1865679349997436</c:v>
                </c:pt>
                <c:pt idx="1">
                  <c:v>27.392013157499832</c:v>
                </c:pt>
                <c:pt idx="2">
                  <c:v>39.055018199999687</c:v>
                </c:pt>
                <c:pt idx="3">
                  <c:v>53.95659335999958</c:v>
                </c:pt>
                <c:pt idx="4">
                  <c:v>75.630217235000003</c:v>
                </c:pt>
                <c:pt idx="5">
                  <c:v>116.486103297</c:v>
                </c:pt>
                <c:pt idx="6">
                  <c:v>138.50483764000001</c:v>
                </c:pt>
                <c:pt idx="7">
                  <c:v>169.267337277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E-4BC5-9342-49111B080740}"/>
            </c:ext>
          </c:extLst>
        </c:ser>
        <c:ser>
          <c:idx val="2"/>
          <c:order val="2"/>
          <c:tx>
            <c:strRef>
              <c:f>积水峰值规律!$E$4</c:f>
              <c:strCache>
                <c:ptCount val="1"/>
                <c:pt idx="0">
                  <c:v>D2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积水峰值规律!$E$5:$E$12</c:f>
              <c:numCache>
                <c:formatCode>0.00_ </c:formatCode>
                <c:ptCount val="8"/>
                <c:pt idx="0">
                  <c:v>5.7319490899997643</c:v>
                </c:pt>
                <c:pt idx="1">
                  <c:v>23.799736039999829</c:v>
                </c:pt>
                <c:pt idx="2">
                  <c:v>35.094782702499749</c:v>
                </c:pt>
                <c:pt idx="3">
                  <c:v>49.495802347499733</c:v>
                </c:pt>
                <c:pt idx="4">
                  <c:v>69.279476145000004</c:v>
                </c:pt>
                <c:pt idx="5">
                  <c:v>106.153180245</c:v>
                </c:pt>
                <c:pt idx="6">
                  <c:v>125.65487930999998</c:v>
                </c:pt>
                <c:pt idx="7">
                  <c:v>155.07460802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E-4BC5-9342-49111B080740}"/>
            </c:ext>
          </c:extLst>
        </c:ser>
        <c:ser>
          <c:idx val="3"/>
          <c:order val="3"/>
          <c:tx>
            <c:strRef>
              <c:f>积水峰值规律!$F$4</c:f>
              <c:strCache>
                <c:ptCount val="1"/>
                <c:pt idx="0">
                  <c:v>D3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积水峰值规律!$F$5:$F$12</c:f>
              <c:numCache>
                <c:formatCode>0.00_ </c:formatCode>
                <c:ptCount val="8"/>
                <c:pt idx="0">
                  <c:v>5.5629542499997395</c:v>
                </c:pt>
                <c:pt idx="1">
                  <c:v>23.50857257749983</c:v>
                </c:pt>
                <c:pt idx="2">
                  <c:v>34.776108924999726</c:v>
                </c:pt>
                <c:pt idx="3">
                  <c:v>49.142637682499817</c:v>
                </c:pt>
                <c:pt idx="4">
                  <c:v>68.870007287000007</c:v>
                </c:pt>
                <c:pt idx="5">
                  <c:v>105.42676770999999</c:v>
                </c:pt>
                <c:pt idx="6">
                  <c:v>124.65582995500002</c:v>
                </c:pt>
                <c:pt idx="7">
                  <c:v>153.960607095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3E-4BC5-9342-49111B080740}"/>
            </c:ext>
          </c:extLst>
        </c:ser>
        <c:ser>
          <c:idx val="4"/>
          <c:order val="4"/>
          <c:tx>
            <c:strRef>
              <c:f>积水峰值规律!$G$4</c:f>
              <c:strCache>
                <c:ptCount val="1"/>
                <c:pt idx="0">
                  <c:v>D4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积水峰值规律!$G$5:$G$12</c:f>
              <c:numCache>
                <c:formatCode>0.00_ </c:formatCode>
                <c:ptCount val="8"/>
                <c:pt idx="0">
                  <c:v>5.3991282224997335</c:v>
                </c:pt>
                <c:pt idx="1">
                  <c:v>23.21937473749988</c:v>
                </c:pt>
                <c:pt idx="2">
                  <c:v>34.458830797499736</c:v>
                </c:pt>
                <c:pt idx="3">
                  <c:v>48.792402272499707</c:v>
                </c:pt>
                <c:pt idx="4">
                  <c:v>68.463155262000001</c:v>
                </c:pt>
                <c:pt idx="5">
                  <c:v>104.660834073</c:v>
                </c:pt>
                <c:pt idx="6">
                  <c:v>123.76019579199999</c:v>
                </c:pt>
                <c:pt idx="7">
                  <c:v>152.76367589500001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3E-4BC5-9342-49111B080740}"/>
            </c:ext>
          </c:extLst>
        </c:ser>
        <c:ser>
          <c:idx val="5"/>
          <c:order val="5"/>
          <c:tx>
            <c:strRef>
              <c:f>积水峰值规律!$H$4</c:f>
              <c:strCache>
                <c:ptCount val="1"/>
                <c:pt idx="0">
                  <c:v>D5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积水峰值规律!$H$5:$H$12</c:f>
              <c:numCache>
                <c:formatCode>0.00_ </c:formatCode>
                <c:ptCount val="8"/>
                <c:pt idx="0">
                  <c:v>20.795259569999438</c:v>
                </c:pt>
                <c:pt idx="1">
                  <c:v>49.991723014999721</c:v>
                </c:pt>
                <c:pt idx="2">
                  <c:v>68.920724052499637</c:v>
                </c:pt>
                <c:pt idx="3">
                  <c:v>90.843124179999649</c:v>
                </c:pt>
                <c:pt idx="4">
                  <c:v>121.52771331199999</c:v>
                </c:pt>
                <c:pt idx="5">
                  <c:v>174.579399825</c:v>
                </c:pt>
                <c:pt idx="6">
                  <c:v>199.903874922</c:v>
                </c:pt>
                <c:pt idx="7">
                  <c:v>234.88553497999999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3E-4BC5-9342-49111B080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441999"/>
        <c:axId val="77441519"/>
      </c:barChart>
      <c:catAx>
        <c:axId val="7744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Return Period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7441519"/>
        <c:crosses val="autoZero"/>
        <c:auto val="1"/>
        <c:lblAlgn val="ctr"/>
        <c:lblOffset val="100"/>
        <c:noMultiLvlLbl val="0"/>
      </c:catAx>
      <c:valAx>
        <c:axId val="77441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Total Runoff</a:t>
                </a:r>
                <a:r>
                  <a:rPr lang="zh-CN">
                    <a:solidFill>
                      <a:sysClr val="windowText" lastClr="000000"/>
                    </a:solidFill>
                  </a:rPr>
                  <a:t>（</a:t>
                </a:r>
                <a:r>
                  <a:rPr lang="en-US">
                    <a:solidFill>
                      <a:sysClr val="windowText" lastClr="000000"/>
                    </a:solidFill>
                  </a:rPr>
                  <a:t>×104m3</a:t>
                </a:r>
                <a:r>
                  <a:rPr lang="zh-CN">
                    <a:solidFill>
                      <a:sysClr val="windowText" lastClr="000000"/>
                    </a:solidFill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9.9173387418941134E-3"/>
              <c:y val="0.140336400848753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7441999"/>
        <c:crosses val="autoZero"/>
        <c:crossBetween val="between"/>
      </c:valAx>
      <c:spPr>
        <a:noFill/>
        <a:ln w="63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6007858353154794"/>
          <c:y val="9.4007585100991983E-2"/>
          <c:w val="0.45648218186888345"/>
          <c:h val="0.113563632240612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3937007874016"/>
          <c:y val="5.0925925925925923E-2"/>
          <c:w val="0.85290507436570429"/>
          <c:h val="0.83496062992125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积水峰值规律!$B$5</c:f>
              <c:strCache>
                <c:ptCount val="1"/>
                <c:pt idx="0">
                  <c:v>1a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积水峰值规律!$C$4:$H$4</c:f>
              <c:strCache>
                <c:ptCount val="6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</c:strCache>
            </c:strRef>
          </c:cat>
          <c:val>
            <c:numRef>
              <c:f>积水峰值规律!$C$5:$H$5</c:f>
              <c:numCache>
                <c:formatCode>0.00_ </c:formatCode>
                <c:ptCount val="6"/>
                <c:pt idx="0">
                  <c:v>14.47560552749972</c:v>
                </c:pt>
                <c:pt idx="1">
                  <c:v>8.1865679349997436</c:v>
                </c:pt>
                <c:pt idx="2">
                  <c:v>5.7319490899997643</c:v>
                </c:pt>
                <c:pt idx="3">
                  <c:v>5.5629542499997395</c:v>
                </c:pt>
                <c:pt idx="4">
                  <c:v>5.3991282224997335</c:v>
                </c:pt>
                <c:pt idx="5">
                  <c:v>20.795259569999438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3-467E-A7C5-3BA27ACA948B}"/>
            </c:ext>
          </c:extLst>
        </c:ser>
        <c:ser>
          <c:idx val="1"/>
          <c:order val="1"/>
          <c:tx>
            <c:strRef>
              <c:f>积水峰值规律!$B$6</c:f>
              <c:strCache>
                <c:ptCount val="1"/>
                <c:pt idx="0">
                  <c:v>2a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积水峰值规律!$C$4:$H$4</c:f>
              <c:strCache>
                <c:ptCount val="6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</c:strCache>
            </c:strRef>
          </c:cat>
          <c:val>
            <c:numRef>
              <c:f>积水峰值规律!$C$6:$H$6</c:f>
              <c:numCache>
                <c:formatCode>0.00_ </c:formatCode>
                <c:ptCount val="6"/>
                <c:pt idx="0">
                  <c:v>37.019222509999466</c:v>
                </c:pt>
                <c:pt idx="1">
                  <c:v>27.392013157499832</c:v>
                </c:pt>
                <c:pt idx="2">
                  <c:v>23.799736039999829</c:v>
                </c:pt>
                <c:pt idx="3">
                  <c:v>23.50857257749983</c:v>
                </c:pt>
                <c:pt idx="4">
                  <c:v>23.21937473749988</c:v>
                </c:pt>
                <c:pt idx="5">
                  <c:v>49.991723014999721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3-467E-A7C5-3BA27ACA948B}"/>
            </c:ext>
          </c:extLst>
        </c:ser>
        <c:ser>
          <c:idx val="2"/>
          <c:order val="2"/>
          <c:tx>
            <c:strRef>
              <c:f>积水峰值规律!$B$7</c:f>
              <c:strCache>
                <c:ptCount val="1"/>
                <c:pt idx="0">
                  <c:v>3a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积水峰值规律!$C$4:$H$4</c:f>
              <c:strCache>
                <c:ptCount val="6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</c:strCache>
            </c:strRef>
          </c:cat>
          <c:val>
            <c:numRef>
              <c:f>积水峰值规律!$C$7:$H$7</c:f>
              <c:numCache>
                <c:formatCode>0.00_ </c:formatCode>
                <c:ptCount val="6"/>
                <c:pt idx="0">
                  <c:v>51.084844232499584</c:v>
                </c:pt>
                <c:pt idx="1">
                  <c:v>39.055018199999687</c:v>
                </c:pt>
                <c:pt idx="2">
                  <c:v>35.094782702499749</c:v>
                </c:pt>
                <c:pt idx="3">
                  <c:v>34.776108924999726</c:v>
                </c:pt>
                <c:pt idx="4">
                  <c:v>34.458830797499736</c:v>
                </c:pt>
                <c:pt idx="5">
                  <c:v>68.920724052499637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3-467E-A7C5-3BA27ACA948B}"/>
            </c:ext>
          </c:extLst>
        </c:ser>
        <c:ser>
          <c:idx val="3"/>
          <c:order val="3"/>
          <c:tx>
            <c:strRef>
              <c:f>积水峰值规律!$B$8</c:f>
              <c:strCache>
                <c:ptCount val="1"/>
                <c:pt idx="0">
                  <c:v>5a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积水峰值规律!$C$4:$H$4</c:f>
              <c:strCache>
                <c:ptCount val="6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</c:strCache>
            </c:strRef>
          </c:cat>
          <c:val>
            <c:numRef>
              <c:f>积水峰值规律!$C$8:$H$8</c:f>
              <c:numCache>
                <c:formatCode>0.00_ </c:formatCode>
                <c:ptCount val="6"/>
                <c:pt idx="0">
                  <c:v>69.043436100000008</c:v>
                </c:pt>
                <c:pt idx="1">
                  <c:v>53.95659335999958</c:v>
                </c:pt>
                <c:pt idx="2">
                  <c:v>49.495802347499733</c:v>
                </c:pt>
                <c:pt idx="3">
                  <c:v>49.142637682499817</c:v>
                </c:pt>
                <c:pt idx="4">
                  <c:v>48.792402272499707</c:v>
                </c:pt>
                <c:pt idx="5">
                  <c:v>90.843124179999649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E3-467E-A7C5-3BA27ACA948B}"/>
            </c:ext>
          </c:extLst>
        </c:ser>
        <c:ser>
          <c:idx val="4"/>
          <c:order val="4"/>
          <c:tx>
            <c:strRef>
              <c:f>积水峰值规律!$B$9</c:f>
              <c:strCache>
                <c:ptCount val="1"/>
                <c:pt idx="0">
                  <c:v>10a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积水峰值规律!$C$4:$H$4</c:f>
              <c:strCache>
                <c:ptCount val="6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</c:strCache>
            </c:strRef>
          </c:cat>
          <c:val>
            <c:numRef>
              <c:f>积水峰值规律!$C$9:$H$9</c:f>
              <c:numCache>
                <c:formatCode>0.00_ </c:formatCode>
                <c:ptCount val="6"/>
                <c:pt idx="0">
                  <c:v>97.464348482000005</c:v>
                </c:pt>
                <c:pt idx="1">
                  <c:v>75.630217235000003</c:v>
                </c:pt>
                <c:pt idx="2">
                  <c:v>69.279476145000004</c:v>
                </c:pt>
                <c:pt idx="3">
                  <c:v>68.870007287000007</c:v>
                </c:pt>
                <c:pt idx="4">
                  <c:v>68.463155262000001</c:v>
                </c:pt>
                <c:pt idx="5">
                  <c:v>121.52771331199999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E3-467E-A7C5-3BA27ACA948B}"/>
            </c:ext>
          </c:extLst>
        </c:ser>
        <c:ser>
          <c:idx val="5"/>
          <c:order val="5"/>
          <c:tx>
            <c:strRef>
              <c:f>积水峰值规律!$B$10</c:f>
              <c:strCache>
                <c:ptCount val="1"/>
                <c:pt idx="0">
                  <c:v>30a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积水峰值规律!$C$4:$H$4</c:f>
              <c:strCache>
                <c:ptCount val="6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</c:strCache>
            </c:strRef>
          </c:cat>
          <c:val>
            <c:numRef>
              <c:f>积水峰值规律!$C$10:$H$10</c:f>
              <c:numCache>
                <c:formatCode>0.00_ </c:formatCode>
                <c:ptCount val="6"/>
                <c:pt idx="0">
                  <c:v>148.28103121799998</c:v>
                </c:pt>
                <c:pt idx="1">
                  <c:v>116.486103297</c:v>
                </c:pt>
                <c:pt idx="2">
                  <c:v>106.153180245</c:v>
                </c:pt>
                <c:pt idx="3">
                  <c:v>105.42676770999999</c:v>
                </c:pt>
                <c:pt idx="4">
                  <c:v>104.660834073</c:v>
                </c:pt>
                <c:pt idx="5">
                  <c:v>174.579399825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E3-467E-A7C5-3BA27ACA948B}"/>
            </c:ext>
          </c:extLst>
        </c:ser>
        <c:ser>
          <c:idx val="6"/>
          <c:order val="6"/>
          <c:tx>
            <c:strRef>
              <c:f>积水峰值规律!$B$11</c:f>
              <c:strCache>
                <c:ptCount val="1"/>
                <c:pt idx="0">
                  <c:v>50a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积水峰值规律!$C$4:$H$4</c:f>
              <c:strCache>
                <c:ptCount val="6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</c:strCache>
            </c:strRef>
          </c:cat>
          <c:val>
            <c:numRef>
              <c:f>积水峰值规律!$C$11:$H$11</c:f>
              <c:numCache>
                <c:formatCode>0.00_ </c:formatCode>
                <c:ptCount val="6"/>
                <c:pt idx="0">
                  <c:v>173.029197385</c:v>
                </c:pt>
                <c:pt idx="1">
                  <c:v>138.50483764000001</c:v>
                </c:pt>
                <c:pt idx="2">
                  <c:v>125.65487930999998</c:v>
                </c:pt>
                <c:pt idx="3">
                  <c:v>124.65582995500002</c:v>
                </c:pt>
                <c:pt idx="4">
                  <c:v>123.76019579199999</c:v>
                </c:pt>
                <c:pt idx="5">
                  <c:v>199.903874922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E3-467E-A7C5-3BA27ACA948B}"/>
            </c:ext>
          </c:extLst>
        </c:ser>
        <c:ser>
          <c:idx val="7"/>
          <c:order val="7"/>
          <c:tx>
            <c:strRef>
              <c:f>积水峰值规律!$B$12</c:f>
              <c:strCache>
                <c:ptCount val="1"/>
                <c:pt idx="0">
                  <c:v>100a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积水峰值规律!$C$4:$H$4</c:f>
              <c:strCache>
                <c:ptCount val="6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</c:strCache>
            </c:strRef>
          </c:cat>
          <c:val>
            <c:numRef>
              <c:f>积水峰值规律!$C$12:$H$12</c:f>
              <c:numCache>
                <c:formatCode>0.00_ </c:formatCode>
                <c:ptCount val="6"/>
                <c:pt idx="0">
                  <c:v>207.11911528499999</c:v>
                </c:pt>
                <c:pt idx="1">
                  <c:v>169.267337277</c:v>
                </c:pt>
                <c:pt idx="2">
                  <c:v>155.07460802</c:v>
                </c:pt>
                <c:pt idx="3">
                  <c:v>153.960607095</c:v>
                </c:pt>
                <c:pt idx="4">
                  <c:v>152.76367589500001</c:v>
                </c:pt>
                <c:pt idx="5">
                  <c:v>234.88553497999999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5E3-467E-A7C5-3BA27ACA9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49599"/>
        <c:axId val="90450079"/>
      </c:barChart>
      <c:catAx>
        <c:axId val="904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450079"/>
        <c:crosses val="autoZero"/>
        <c:auto val="1"/>
        <c:lblAlgn val="ctr"/>
        <c:lblOffset val="100"/>
        <c:noMultiLvlLbl val="0"/>
      </c:catAx>
      <c:valAx>
        <c:axId val="904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44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907480314960627"/>
          <c:y val="3.1248906386701709E-2"/>
          <c:w val="0.61701092772139177"/>
          <c:h val="0.190813175202085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086463909980121E-2"/>
          <c:y val="5.1001818833653755E-2"/>
          <c:w val="0.8827681043133413"/>
          <c:h val="0.84201775900125519"/>
        </c:manualLayout>
      </c:layout>
      <c:lineChart>
        <c:grouping val="standard"/>
        <c:varyColors val="0"/>
        <c:ser>
          <c:idx val="0"/>
          <c:order val="0"/>
          <c:tx>
            <c:strRef>
              <c:f>积水峰值规律!$K$17</c:f>
              <c:strCache>
                <c:ptCount val="1"/>
                <c:pt idx="0">
                  <c:v>D0→D1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积水峰值规律!$J$18:$J$25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积水峰值规律!$K$18:$K$25</c:f>
              <c:numCache>
                <c:formatCode>0%</c:formatCode>
                <c:ptCount val="8"/>
                <c:pt idx="0">
                  <c:v>0.43445765225865768</c:v>
                </c:pt>
                <c:pt idx="1">
                  <c:v>0.26005973923139997</c:v>
                </c:pt>
                <c:pt idx="2">
                  <c:v>0.23548718241655442</c:v>
                </c:pt>
                <c:pt idx="3">
                  <c:v>0.21851233936487738</c:v>
                </c:pt>
                <c:pt idx="4">
                  <c:v>0.22402172268183163</c:v>
                </c:pt>
                <c:pt idx="5">
                  <c:v>0.21442343406862122</c:v>
                </c:pt>
                <c:pt idx="6">
                  <c:v>0.19952909836471872</c:v>
                </c:pt>
                <c:pt idx="7">
                  <c:v>0.18275366788775244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9-4AD8-8A0C-6216F0010E46}"/>
            </c:ext>
          </c:extLst>
        </c:ser>
        <c:ser>
          <c:idx val="1"/>
          <c:order val="1"/>
          <c:tx>
            <c:strRef>
              <c:f>积水峰值规律!$L$17</c:f>
              <c:strCache>
                <c:ptCount val="1"/>
                <c:pt idx="0">
                  <c:v>D1→D2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积水峰值规律!$J$18:$J$25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积水峰值规律!$L$18:$L$25</c:f>
              <c:numCache>
                <c:formatCode>0%</c:formatCode>
                <c:ptCount val="8"/>
                <c:pt idx="0">
                  <c:v>0.29983490816778474</c:v>
                </c:pt>
                <c:pt idx="1">
                  <c:v>0.13114323130778913</c:v>
                </c:pt>
                <c:pt idx="2">
                  <c:v>0.10140145056954471</c:v>
                </c:pt>
                <c:pt idx="3">
                  <c:v>8.2673696293932994E-2</c:v>
                </c:pt>
                <c:pt idx="4">
                  <c:v>8.397094867871166E-2</c:v>
                </c:pt>
                <c:pt idx="5">
                  <c:v>8.8705199672226606E-2</c:v>
                </c:pt>
                <c:pt idx="6">
                  <c:v>9.2776241963471826E-2</c:v>
                </c:pt>
                <c:pt idx="7">
                  <c:v>8.3848009222086947E-2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9-4AD8-8A0C-6216F0010E46}"/>
            </c:ext>
          </c:extLst>
        </c:ser>
        <c:ser>
          <c:idx val="2"/>
          <c:order val="2"/>
          <c:tx>
            <c:strRef>
              <c:f>积水峰值规律!$M$17</c:f>
              <c:strCache>
                <c:ptCount val="1"/>
                <c:pt idx="0">
                  <c:v>D2→D3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积水峰值规律!$J$18:$J$25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积水峰值规律!$M$18:$M$25</c:f>
              <c:numCache>
                <c:formatCode>0%</c:formatCode>
                <c:ptCount val="8"/>
                <c:pt idx="0">
                  <c:v>2.9482962487378212E-2</c:v>
                </c:pt>
                <c:pt idx="1">
                  <c:v>1.2233894611715217E-2</c:v>
                </c:pt>
                <c:pt idx="2">
                  <c:v>9.080374715564922E-3</c:v>
                </c:pt>
                <c:pt idx="3">
                  <c:v>7.1352447732924984E-3</c:v>
                </c:pt>
                <c:pt idx="4">
                  <c:v>5.9103919484464621E-3</c:v>
                </c:pt>
                <c:pt idx="5">
                  <c:v>6.8430595609425826E-3</c:v>
                </c:pt>
                <c:pt idx="6">
                  <c:v>7.9507406356679466E-3</c:v>
                </c:pt>
                <c:pt idx="7">
                  <c:v>7.1836449514437999E-3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29-4AD8-8A0C-6216F0010E46}"/>
            </c:ext>
          </c:extLst>
        </c:ser>
        <c:ser>
          <c:idx val="3"/>
          <c:order val="3"/>
          <c:tx>
            <c:strRef>
              <c:f>积水峰值规律!$N$17</c:f>
              <c:strCache>
                <c:ptCount val="1"/>
                <c:pt idx="0">
                  <c:v>D3→D4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积水峰值规律!$J$18:$J$25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积水峰值规律!$N$18:$N$25</c:f>
              <c:numCache>
                <c:formatCode>0%</c:formatCode>
                <c:ptCount val="8"/>
                <c:pt idx="0">
                  <c:v>2.9449465183003034E-2</c:v>
                </c:pt>
                <c:pt idx="1">
                  <c:v>1.2301803482391903E-2</c:v>
                </c:pt>
                <c:pt idx="2">
                  <c:v>9.1234510503820452E-3</c:v>
                </c:pt>
                <c:pt idx="3">
                  <c:v>7.1269151701401703E-3</c:v>
                </c:pt>
                <c:pt idx="4">
                  <c:v>5.9075356752111771E-3</c:v>
                </c:pt>
                <c:pt idx="5">
                  <c:v>7.2650774906318069E-3</c:v>
                </c:pt>
                <c:pt idx="6">
                  <c:v>7.1848558011554185E-3</c:v>
                </c:pt>
                <c:pt idx="7">
                  <c:v>7.7742691626400181E-3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29-4AD8-8A0C-6216F0010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674527"/>
        <c:axId val="508670687"/>
      </c:lineChart>
      <c:catAx>
        <c:axId val="50867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8670687"/>
        <c:crosses val="autoZero"/>
        <c:auto val="1"/>
        <c:lblAlgn val="ctr"/>
        <c:lblOffset val="100"/>
        <c:noMultiLvlLbl val="0"/>
      </c:catAx>
      <c:valAx>
        <c:axId val="50867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867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18434729140642"/>
          <c:y val="6.4000163556298034E-2"/>
          <c:w val="0.89174267568466958"/>
          <c:h val="7.8241974241343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484600471685893E-2"/>
          <c:y val="5.0925925925925923E-2"/>
          <c:w val="0.88358771739315722"/>
          <c:h val="0.83669728783902009"/>
        </c:manualLayout>
      </c:layout>
      <c:lineChart>
        <c:grouping val="standard"/>
        <c:varyColors val="0"/>
        <c:ser>
          <c:idx val="0"/>
          <c:order val="0"/>
          <c:tx>
            <c:strRef>
              <c:f>积水峰值规律!$J$18</c:f>
              <c:strCache>
                <c:ptCount val="1"/>
                <c:pt idx="0">
                  <c:v>1a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积水峰值规律!$K$17:$N$17</c:f>
              <c:strCache>
                <c:ptCount val="4"/>
                <c:pt idx="0">
                  <c:v>D0→D1</c:v>
                </c:pt>
                <c:pt idx="1">
                  <c:v>D1→D2</c:v>
                </c:pt>
                <c:pt idx="2">
                  <c:v>D2→D3</c:v>
                </c:pt>
                <c:pt idx="3">
                  <c:v>D3→D4</c:v>
                </c:pt>
              </c:strCache>
            </c:strRef>
          </c:cat>
          <c:val>
            <c:numRef>
              <c:f>积水峰值规律!$K$18:$N$18</c:f>
              <c:numCache>
                <c:formatCode>0%</c:formatCode>
                <c:ptCount val="4"/>
                <c:pt idx="0">
                  <c:v>0.43445765225865768</c:v>
                </c:pt>
                <c:pt idx="1">
                  <c:v>0.29983490816778474</c:v>
                </c:pt>
                <c:pt idx="2">
                  <c:v>2.9482962487378212E-2</c:v>
                </c:pt>
                <c:pt idx="3">
                  <c:v>2.9449465183003034E-2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6-40C9-8477-BEACB46C2F06}"/>
            </c:ext>
          </c:extLst>
        </c:ser>
        <c:ser>
          <c:idx val="1"/>
          <c:order val="1"/>
          <c:tx>
            <c:strRef>
              <c:f>积水峰值规律!$J$19</c:f>
              <c:strCache>
                <c:ptCount val="1"/>
                <c:pt idx="0">
                  <c:v>2a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积水峰值规律!$K$17:$N$17</c:f>
              <c:strCache>
                <c:ptCount val="4"/>
                <c:pt idx="0">
                  <c:v>D0→D1</c:v>
                </c:pt>
                <c:pt idx="1">
                  <c:v>D1→D2</c:v>
                </c:pt>
                <c:pt idx="2">
                  <c:v>D2→D3</c:v>
                </c:pt>
                <c:pt idx="3">
                  <c:v>D3→D4</c:v>
                </c:pt>
              </c:strCache>
            </c:strRef>
          </c:cat>
          <c:val>
            <c:numRef>
              <c:f>积水峰值规律!$K$19:$N$19</c:f>
              <c:numCache>
                <c:formatCode>0%</c:formatCode>
                <c:ptCount val="4"/>
                <c:pt idx="0">
                  <c:v>0.26005973923139997</c:v>
                </c:pt>
                <c:pt idx="1">
                  <c:v>0.13114323130778913</c:v>
                </c:pt>
                <c:pt idx="2">
                  <c:v>1.2233894611715217E-2</c:v>
                </c:pt>
                <c:pt idx="3">
                  <c:v>1.2301803482391903E-2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96-40C9-8477-BEACB46C2F06}"/>
            </c:ext>
          </c:extLst>
        </c:ser>
        <c:ser>
          <c:idx val="2"/>
          <c:order val="2"/>
          <c:tx>
            <c:strRef>
              <c:f>积水峰值规律!$J$20</c:f>
              <c:strCache>
                <c:ptCount val="1"/>
                <c:pt idx="0">
                  <c:v>3a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积水峰值规律!$K$17:$N$17</c:f>
              <c:strCache>
                <c:ptCount val="4"/>
                <c:pt idx="0">
                  <c:v>D0→D1</c:v>
                </c:pt>
                <c:pt idx="1">
                  <c:v>D1→D2</c:v>
                </c:pt>
                <c:pt idx="2">
                  <c:v>D2→D3</c:v>
                </c:pt>
                <c:pt idx="3">
                  <c:v>D3→D4</c:v>
                </c:pt>
              </c:strCache>
            </c:strRef>
          </c:cat>
          <c:val>
            <c:numRef>
              <c:f>积水峰值规律!$K$20:$N$20</c:f>
              <c:numCache>
                <c:formatCode>0%</c:formatCode>
                <c:ptCount val="4"/>
                <c:pt idx="0">
                  <c:v>0.23548718241655442</c:v>
                </c:pt>
                <c:pt idx="1">
                  <c:v>0.10140145056954471</c:v>
                </c:pt>
                <c:pt idx="2">
                  <c:v>9.080374715564922E-3</c:v>
                </c:pt>
                <c:pt idx="3">
                  <c:v>9.1234510503820452E-3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96-40C9-8477-BEACB46C2F06}"/>
            </c:ext>
          </c:extLst>
        </c:ser>
        <c:ser>
          <c:idx val="3"/>
          <c:order val="3"/>
          <c:tx>
            <c:strRef>
              <c:f>积水峰值规律!$J$21</c:f>
              <c:strCache>
                <c:ptCount val="1"/>
                <c:pt idx="0">
                  <c:v>5a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积水峰值规律!$K$17:$N$17</c:f>
              <c:strCache>
                <c:ptCount val="4"/>
                <c:pt idx="0">
                  <c:v>D0→D1</c:v>
                </c:pt>
                <c:pt idx="1">
                  <c:v>D1→D2</c:v>
                </c:pt>
                <c:pt idx="2">
                  <c:v>D2→D3</c:v>
                </c:pt>
                <c:pt idx="3">
                  <c:v>D3→D4</c:v>
                </c:pt>
              </c:strCache>
            </c:strRef>
          </c:cat>
          <c:val>
            <c:numRef>
              <c:f>积水峰值规律!$K$21:$N$21</c:f>
              <c:numCache>
                <c:formatCode>0%</c:formatCode>
                <c:ptCount val="4"/>
                <c:pt idx="0">
                  <c:v>0.21851233936487738</c:v>
                </c:pt>
                <c:pt idx="1">
                  <c:v>8.2673696293932994E-2</c:v>
                </c:pt>
                <c:pt idx="2">
                  <c:v>7.1352447732924984E-3</c:v>
                </c:pt>
                <c:pt idx="3">
                  <c:v>7.1269151701401703E-3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96-40C9-8477-BEACB46C2F06}"/>
            </c:ext>
          </c:extLst>
        </c:ser>
        <c:ser>
          <c:idx val="4"/>
          <c:order val="4"/>
          <c:tx>
            <c:strRef>
              <c:f>积水峰值规律!$J$22</c:f>
              <c:strCache>
                <c:ptCount val="1"/>
                <c:pt idx="0">
                  <c:v>10a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积水峰值规律!$K$17:$N$17</c:f>
              <c:strCache>
                <c:ptCount val="4"/>
                <c:pt idx="0">
                  <c:v>D0→D1</c:v>
                </c:pt>
                <c:pt idx="1">
                  <c:v>D1→D2</c:v>
                </c:pt>
                <c:pt idx="2">
                  <c:v>D2→D3</c:v>
                </c:pt>
                <c:pt idx="3">
                  <c:v>D3→D4</c:v>
                </c:pt>
              </c:strCache>
            </c:strRef>
          </c:cat>
          <c:val>
            <c:numRef>
              <c:f>积水峰值规律!$K$22:$N$22</c:f>
              <c:numCache>
                <c:formatCode>0%</c:formatCode>
                <c:ptCount val="4"/>
                <c:pt idx="0">
                  <c:v>0.22402172268183163</c:v>
                </c:pt>
                <c:pt idx="1">
                  <c:v>8.397094867871166E-2</c:v>
                </c:pt>
                <c:pt idx="2">
                  <c:v>5.9103919484464621E-3</c:v>
                </c:pt>
                <c:pt idx="3">
                  <c:v>5.9075356752111771E-3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96-40C9-8477-BEACB46C2F06}"/>
            </c:ext>
          </c:extLst>
        </c:ser>
        <c:ser>
          <c:idx val="5"/>
          <c:order val="5"/>
          <c:tx>
            <c:strRef>
              <c:f>积水峰值规律!$J$23</c:f>
              <c:strCache>
                <c:ptCount val="1"/>
                <c:pt idx="0">
                  <c:v>30a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积水峰值规律!$K$17:$N$17</c:f>
              <c:strCache>
                <c:ptCount val="4"/>
                <c:pt idx="0">
                  <c:v>D0→D1</c:v>
                </c:pt>
                <c:pt idx="1">
                  <c:v>D1→D2</c:v>
                </c:pt>
                <c:pt idx="2">
                  <c:v>D2→D3</c:v>
                </c:pt>
                <c:pt idx="3">
                  <c:v>D3→D4</c:v>
                </c:pt>
              </c:strCache>
            </c:strRef>
          </c:cat>
          <c:val>
            <c:numRef>
              <c:f>积水峰值规律!$K$23:$N$23</c:f>
              <c:numCache>
                <c:formatCode>0%</c:formatCode>
                <c:ptCount val="4"/>
                <c:pt idx="0">
                  <c:v>0.21442343406862122</c:v>
                </c:pt>
                <c:pt idx="1">
                  <c:v>8.8705199672226606E-2</c:v>
                </c:pt>
                <c:pt idx="2">
                  <c:v>6.8430595609425826E-3</c:v>
                </c:pt>
                <c:pt idx="3">
                  <c:v>7.2650774906318069E-3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96-40C9-8477-BEACB46C2F06}"/>
            </c:ext>
          </c:extLst>
        </c:ser>
        <c:ser>
          <c:idx val="6"/>
          <c:order val="6"/>
          <c:tx>
            <c:strRef>
              <c:f>积水峰值规律!$J$24</c:f>
              <c:strCache>
                <c:ptCount val="1"/>
                <c:pt idx="0">
                  <c:v>50a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积水峰值规律!$K$17:$N$17</c:f>
              <c:strCache>
                <c:ptCount val="4"/>
                <c:pt idx="0">
                  <c:v>D0→D1</c:v>
                </c:pt>
                <c:pt idx="1">
                  <c:v>D1→D2</c:v>
                </c:pt>
                <c:pt idx="2">
                  <c:v>D2→D3</c:v>
                </c:pt>
                <c:pt idx="3">
                  <c:v>D3→D4</c:v>
                </c:pt>
              </c:strCache>
            </c:strRef>
          </c:cat>
          <c:val>
            <c:numRef>
              <c:f>积水峰值规律!$K$24:$N$24</c:f>
              <c:numCache>
                <c:formatCode>0%</c:formatCode>
                <c:ptCount val="4"/>
                <c:pt idx="0">
                  <c:v>0.19952909836471872</c:v>
                </c:pt>
                <c:pt idx="1">
                  <c:v>9.2776241963471826E-2</c:v>
                </c:pt>
                <c:pt idx="2">
                  <c:v>7.9507406356679466E-3</c:v>
                </c:pt>
                <c:pt idx="3">
                  <c:v>7.1848558011554185E-3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96-40C9-8477-BEACB46C2F06}"/>
            </c:ext>
          </c:extLst>
        </c:ser>
        <c:ser>
          <c:idx val="7"/>
          <c:order val="7"/>
          <c:tx>
            <c:strRef>
              <c:f>积水峰值规律!$J$25</c:f>
              <c:strCache>
                <c:ptCount val="1"/>
                <c:pt idx="0">
                  <c:v>100a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积水峰值规律!$K$17:$N$17</c:f>
              <c:strCache>
                <c:ptCount val="4"/>
                <c:pt idx="0">
                  <c:v>D0→D1</c:v>
                </c:pt>
                <c:pt idx="1">
                  <c:v>D1→D2</c:v>
                </c:pt>
                <c:pt idx="2">
                  <c:v>D2→D3</c:v>
                </c:pt>
                <c:pt idx="3">
                  <c:v>D3→D4</c:v>
                </c:pt>
              </c:strCache>
            </c:strRef>
          </c:cat>
          <c:val>
            <c:numRef>
              <c:f>积水峰值规律!$K$25:$N$25</c:f>
              <c:numCache>
                <c:formatCode>0%</c:formatCode>
                <c:ptCount val="4"/>
                <c:pt idx="0">
                  <c:v>0.18275366788775244</c:v>
                </c:pt>
                <c:pt idx="1">
                  <c:v>8.3848009222086947E-2</c:v>
                </c:pt>
                <c:pt idx="2">
                  <c:v>7.1836449514437999E-3</c:v>
                </c:pt>
                <c:pt idx="3">
                  <c:v>7.7742691626400181E-3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96-40C9-8477-BEACB46C2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845151"/>
        <c:axId val="509841791"/>
      </c:lineChart>
      <c:catAx>
        <c:axId val="50984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09841791"/>
        <c:crosses val="autoZero"/>
        <c:auto val="1"/>
        <c:lblAlgn val="ctr"/>
        <c:lblOffset val="100"/>
        <c:noMultiLvlLbl val="0"/>
      </c:catAx>
      <c:valAx>
        <c:axId val="50984179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09845151"/>
        <c:crosses val="autoZero"/>
        <c:crossBetween val="between"/>
        <c:majorUnit val="0.1"/>
        <c:minorUnit val="5.000000000000001E-2"/>
      </c:valAx>
      <c:spPr>
        <a:noFill/>
        <a:ln w="63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4353051580016891"/>
          <c:y val="9.7800379119276762E-2"/>
          <c:w val="0.60958799442658684"/>
          <c:h val="0.15219962088072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积水峰值规律!$AT$30</c:f>
              <c:strCache>
                <c:ptCount val="1"/>
                <c:pt idx="0">
                  <c:v>无干旱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积水峰值规律!$AS$31:$AS$37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积水峰值规律!$AT$31:$AT$37</c:f>
              <c:numCache>
                <c:formatCode>0.00_ </c:formatCode>
                <c:ptCount val="7"/>
                <c:pt idx="0">
                  <c:v>1.5573522599571392</c:v>
                </c:pt>
                <c:pt idx="1">
                  <c:v>2.5290298658285661</c:v>
                </c:pt>
                <c:pt idx="2">
                  <c:v>3.7696406184070312</c:v>
                </c:pt>
                <c:pt idx="3">
                  <c:v>5.7330066639937236</c:v>
                </c:pt>
                <c:pt idx="4">
                  <c:v>9.2435114673653054</c:v>
                </c:pt>
                <c:pt idx="5">
                  <c:v>10.953157818254409</c:v>
                </c:pt>
                <c:pt idx="6">
                  <c:v>13.308148622282497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3-4C53-9A59-FE1A01949400}"/>
            </c:ext>
          </c:extLst>
        </c:ser>
        <c:ser>
          <c:idx val="1"/>
          <c:order val="1"/>
          <c:tx>
            <c:strRef>
              <c:f>积水峰值规律!$AU$30</c:f>
              <c:strCache>
                <c:ptCount val="1"/>
                <c:pt idx="0">
                  <c:v>轻度干旱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积水峰值规律!$AS$31:$AS$37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积水峰值规律!$AU$31:$AU$37</c:f>
              <c:numCache>
                <c:formatCode>0.00_ </c:formatCode>
                <c:ptCount val="7"/>
                <c:pt idx="0">
                  <c:v>2.3459702985413129</c:v>
                </c:pt>
                <c:pt idx="1">
                  <c:v>3.7706216463469571</c:v>
                </c:pt>
                <c:pt idx="2">
                  <c:v>5.5908685774561118</c:v>
                </c:pt>
                <c:pt idx="3">
                  <c:v>8.2383301324185947</c:v>
                </c:pt>
                <c:pt idx="4">
                  <c:v>13.228930147759611</c:v>
                </c:pt>
                <c:pt idx="5">
                  <c:v>15.918547398581424</c:v>
                </c:pt>
                <c:pt idx="6">
                  <c:v>19.676227036892634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43-4C53-9A59-FE1A01949400}"/>
            </c:ext>
          </c:extLst>
        </c:ser>
        <c:ser>
          <c:idx val="2"/>
          <c:order val="2"/>
          <c:tx>
            <c:strRef>
              <c:f>积水峰值规律!$AV$30</c:f>
              <c:strCache>
                <c:ptCount val="1"/>
                <c:pt idx="0">
                  <c:v>中度干旱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积水峰值规律!$AS$31:$AS$37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积水峰值规律!$AV$31:$AV$37</c:f>
              <c:numCache>
                <c:formatCode>0.00_ </c:formatCode>
                <c:ptCount val="7"/>
                <c:pt idx="0">
                  <c:v>3.1521192296564529</c:v>
                </c:pt>
                <c:pt idx="1">
                  <c:v>5.1226612713165585</c:v>
                </c:pt>
                <c:pt idx="2">
                  <c:v>7.6350736146370357</c:v>
                </c:pt>
                <c:pt idx="3">
                  <c:v>11.086547709551072</c:v>
                </c:pt>
                <c:pt idx="4">
                  <c:v>17.519560899485306</c:v>
                </c:pt>
                <c:pt idx="5">
                  <c:v>20.921841477835798</c:v>
                </c:pt>
                <c:pt idx="6">
                  <c:v>26.05442870917166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43-4C53-9A59-FE1A01949400}"/>
            </c:ext>
          </c:extLst>
        </c:ser>
        <c:ser>
          <c:idx val="3"/>
          <c:order val="3"/>
          <c:tx>
            <c:strRef>
              <c:f>积水峰值规律!$AW$30</c:f>
              <c:strCache>
                <c:ptCount val="1"/>
                <c:pt idx="0">
                  <c:v>严重干旱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积水峰值规律!$AS$31:$AS$37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积水峰值规律!$AW$31:$AW$37</c:f>
              <c:numCache>
                <c:formatCode>0.00_ </c:formatCode>
                <c:ptCount val="7"/>
                <c:pt idx="0">
                  <c:v>3.2259151380763078</c:v>
                </c:pt>
                <c:pt idx="1">
                  <c:v>5.251374245078746</c:v>
                </c:pt>
                <c:pt idx="2">
                  <c:v>7.8339100905786019</c:v>
                </c:pt>
                <c:pt idx="3">
                  <c:v>11.380113909260215</c:v>
                </c:pt>
                <c:pt idx="4">
                  <c:v>17.951579138010157</c:v>
                </c:pt>
                <c:pt idx="5">
                  <c:v>21.408206926203977</c:v>
                </c:pt>
                <c:pt idx="6">
                  <c:v>26.676051280667501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43-4C53-9A59-FE1A01949400}"/>
            </c:ext>
          </c:extLst>
        </c:ser>
        <c:ser>
          <c:idx val="4"/>
          <c:order val="4"/>
          <c:tx>
            <c:strRef>
              <c:f>积水峰值规律!$AX$30</c:f>
              <c:strCache>
                <c:ptCount val="1"/>
                <c:pt idx="0">
                  <c:v>特大干旱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积水峰值规律!$AS$31:$AS$37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积水峰值规律!$AX$31:$AX$37</c:f>
              <c:numCache>
                <c:formatCode>0.00_ </c:formatCode>
                <c:ptCount val="7"/>
                <c:pt idx="0">
                  <c:v>3.300578497235537</c:v>
                </c:pt>
                <c:pt idx="1">
                  <c:v>5.3822953220299148</c:v>
                </c:pt>
                <c:pt idx="2">
                  <c:v>8.0370890006219184</c:v>
                </c:pt>
                <c:pt idx="3">
                  <c:v>11.680409214342081</c:v>
                </c:pt>
                <c:pt idx="4">
                  <c:v>18.384765421359685</c:v>
                </c:pt>
                <c:pt idx="5">
                  <c:v>21.922255351568676</c:v>
                </c:pt>
                <c:pt idx="6">
                  <c:v>27.294137423591728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43-4C53-9A59-FE1A01949400}"/>
            </c:ext>
          </c:extLst>
        </c:ser>
        <c:ser>
          <c:idx val="5"/>
          <c:order val="5"/>
          <c:tx>
            <c:strRef>
              <c:f>积水峰值规律!$AY$30</c:f>
              <c:strCache>
                <c:ptCount val="1"/>
                <c:pt idx="0">
                  <c:v>极端干旱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积水峰值规律!$AS$31:$AS$37</c:f>
              <c:strCache>
                <c:ptCount val="7"/>
                <c:pt idx="0">
                  <c:v>1a→2a</c:v>
                </c:pt>
                <c:pt idx="1">
                  <c:v>1a→3a</c:v>
                </c:pt>
                <c:pt idx="2">
                  <c:v>1a→5a</c:v>
                </c:pt>
                <c:pt idx="3">
                  <c:v>1a→10a</c:v>
                </c:pt>
                <c:pt idx="4">
                  <c:v>1a→30a</c:v>
                </c:pt>
                <c:pt idx="5">
                  <c:v>1a→50a</c:v>
                </c:pt>
                <c:pt idx="6">
                  <c:v>1a→100a</c:v>
                </c:pt>
              </c:strCache>
            </c:strRef>
          </c:cat>
          <c:val>
            <c:numRef>
              <c:f>积水峰值规律!$AY$31:$AY$37</c:f>
              <c:numCache>
                <c:formatCode>0.00_ </c:formatCode>
                <c:ptCount val="7"/>
                <c:pt idx="0">
                  <c:v>1.4039961053008907</c:v>
                </c:pt>
                <c:pt idx="1">
                  <c:v>2.3142516841640703</c:v>
                </c:pt>
                <c:pt idx="2">
                  <c:v>3.3684534869213993</c:v>
                </c:pt>
                <c:pt idx="3">
                  <c:v>4.8440104054927788</c:v>
                </c:pt>
                <c:pt idx="4">
                  <c:v>7.3951536761223853</c:v>
                </c:pt>
                <c:pt idx="5">
                  <c:v>8.6129540604722248</c:v>
                </c:pt>
                <c:pt idx="6">
                  <c:v>10.29514802108365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43-4C53-9A59-FE1A01949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231311"/>
        <c:axId val="498232271"/>
      </c:lineChart>
      <c:catAx>
        <c:axId val="49823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8232271"/>
        <c:crosses val="autoZero"/>
        <c:auto val="1"/>
        <c:lblAlgn val="ctr"/>
        <c:lblOffset val="100"/>
        <c:noMultiLvlLbl val="0"/>
      </c:catAx>
      <c:valAx>
        <c:axId val="49823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823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积水峰值规律!$AS$31</c:f>
              <c:strCache>
                <c:ptCount val="1"/>
                <c:pt idx="0">
                  <c:v>1a→2a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积水峰值规律!$AT$30:$AY$30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积水峰值规律!$AT$31:$AY$31</c:f>
              <c:numCache>
                <c:formatCode>0.00_ </c:formatCode>
                <c:ptCount val="6"/>
                <c:pt idx="0">
                  <c:v>1.5573522599571392</c:v>
                </c:pt>
                <c:pt idx="1">
                  <c:v>2.3459702985413129</c:v>
                </c:pt>
                <c:pt idx="2">
                  <c:v>3.1521192296564529</c:v>
                </c:pt>
                <c:pt idx="3">
                  <c:v>3.2259151380763078</c:v>
                </c:pt>
                <c:pt idx="4">
                  <c:v>3.300578497235537</c:v>
                </c:pt>
                <c:pt idx="5">
                  <c:v>1.4039961053008907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3C-4F03-9A2A-881595602EF2}"/>
            </c:ext>
          </c:extLst>
        </c:ser>
        <c:ser>
          <c:idx val="1"/>
          <c:order val="1"/>
          <c:tx>
            <c:strRef>
              <c:f>积水峰值规律!$AS$32</c:f>
              <c:strCache>
                <c:ptCount val="1"/>
                <c:pt idx="0">
                  <c:v>1a→3a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积水峰值规律!$AT$30:$AY$30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积水峰值规律!$AT$32:$AY$32</c:f>
              <c:numCache>
                <c:formatCode>0.00_ </c:formatCode>
                <c:ptCount val="6"/>
                <c:pt idx="0">
                  <c:v>2.5290298658285661</c:v>
                </c:pt>
                <c:pt idx="1">
                  <c:v>3.7706216463469571</c:v>
                </c:pt>
                <c:pt idx="2">
                  <c:v>5.1226612713165585</c:v>
                </c:pt>
                <c:pt idx="3">
                  <c:v>5.251374245078746</c:v>
                </c:pt>
                <c:pt idx="4">
                  <c:v>5.3822953220299148</c:v>
                </c:pt>
                <c:pt idx="5">
                  <c:v>2.3142516841640703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3C-4F03-9A2A-881595602EF2}"/>
            </c:ext>
          </c:extLst>
        </c:ser>
        <c:ser>
          <c:idx val="2"/>
          <c:order val="2"/>
          <c:tx>
            <c:strRef>
              <c:f>积水峰值规律!$AS$33</c:f>
              <c:strCache>
                <c:ptCount val="1"/>
                <c:pt idx="0">
                  <c:v>1a→5a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积水峰值规律!$AT$30:$AY$30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积水峰值规律!$AT$33:$AY$33</c:f>
              <c:numCache>
                <c:formatCode>0.00_ </c:formatCode>
                <c:ptCount val="6"/>
                <c:pt idx="0">
                  <c:v>3.7696406184070312</c:v>
                </c:pt>
                <c:pt idx="1">
                  <c:v>5.5908685774561118</c:v>
                </c:pt>
                <c:pt idx="2">
                  <c:v>7.6350736146370357</c:v>
                </c:pt>
                <c:pt idx="3">
                  <c:v>7.8339100905786019</c:v>
                </c:pt>
                <c:pt idx="4">
                  <c:v>8.0370890006219184</c:v>
                </c:pt>
                <c:pt idx="5">
                  <c:v>3.3684534869213993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3C-4F03-9A2A-881595602EF2}"/>
            </c:ext>
          </c:extLst>
        </c:ser>
        <c:ser>
          <c:idx val="3"/>
          <c:order val="3"/>
          <c:tx>
            <c:strRef>
              <c:f>积水峰值规律!$AS$34</c:f>
              <c:strCache>
                <c:ptCount val="1"/>
                <c:pt idx="0">
                  <c:v>1a→10a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积水峰值规律!$AT$30:$AY$30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积水峰值规律!$AT$34:$AY$34</c:f>
              <c:numCache>
                <c:formatCode>0.00_ </c:formatCode>
                <c:ptCount val="6"/>
                <c:pt idx="0">
                  <c:v>5.7330066639937236</c:v>
                </c:pt>
                <c:pt idx="1">
                  <c:v>8.2383301324185947</c:v>
                </c:pt>
                <c:pt idx="2">
                  <c:v>11.086547709551072</c:v>
                </c:pt>
                <c:pt idx="3">
                  <c:v>11.380113909260215</c:v>
                </c:pt>
                <c:pt idx="4">
                  <c:v>11.680409214342081</c:v>
                </c:pt>
                <c:pt idx="5">
                  <c:v>4.8440104054927788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3C-4F03-9A2A-881595602EF2}"/>
            </c:ext>
          </c:extLst>
        </c:ser>
        <c:ser>
          <c:idx val="4"/>
          <c:order val="4"/>
          <c:tx>
            <c:strRef>
              <c:f>积水峰值规律!$AS$35</c:f>
              <c:strCache>
                <c:ptCount val="1"/>
                <c:pt idx="0">
                  <c:v>1a→30a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积水峰值规律!$AT$30:$AY$30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积水峰值规律!$AT$35:$AY$35</c:f>
              <c:numCache>
                <c:formatCode>0.00_ </c:formatCode>
                <c:ptCount val="6"/>
                <c:pt idx="0">
                  <c:v>9.2435114673653054</c:v>
                </c:pt>
                <c:pt idx="1">
                  <c:v>13.228930147759611</c:v>
                </c:pt>
                <c:pt idx="2">
                  <c:v>17.519560899485306</c:v>
                </c:pt>
                <c:pt idx="3">
                  <c:v>17.951579138010157</c:v>
                </c:pt>
                <c:pt idx="4">
                  <c:v>18.384765421359685</c:v>
                </c:pt>
                <c:pt idx="5">
                  <c:v>7.3951536761223853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3C-4F03-9A2A-881595602EF2}"/>
            </c:ext>
          </c:extLst>
        </c:ser>
        <c:ser>
          <c:idx val="5"/>
          <c:order val="5"/>
          <c:tx>
            <c:strRef>
              <c:f>积水峰值规律!$AS$36</c:f>
              <c:strCache>
                <c:ptCount val="1"/>
                <c:pt idx="0">
                  <c:v>1a→50a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积水峰值规律!$AT$30:$AY$30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积水峰值规律!$AT$36:$AY$36</c:f>
              <c:numCache>
                <c:formatCode>0.00_ </c:formatCode>
                <c:ptCount val="6"/>
                <c:pt idx="0">
                  <c:v>10.953157818254409</c:v>
                </c:pt>
                <c:pt idx="1">
                  <c:v>15.918547398581424</c:v>
                </c:pt>
                <c:pt idx="2">
                  <c:v>20.921841477835798</c:v>
                </c:pt>
                <c:pt idx="3">
                  <c:v>21.408206926203977</c:v>
                </c:pt>
                <c:pt idx="4">
                  <c:v>21.922255351568676</c:v>
                </c:pt>
                <c:pt idx="5">
                  <c:v>8.6129540604722248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3C-4F03-9A2A-881595602EF2}"/>
            </c:ext>
          </c:extLst>
        </c:ser>
        <c:ser>
          <c:idx val="6"/>
          <c:order val="6"/>
          <c:tx>
            <c:strRef>
              <c:f>积水峰值规律!$AS$37</c:f>
              <c:strCache>
                <c:ptCount val="1"/>
                <c:pt idx="0">
                  <c:v>1a→100a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积水峰值规律!$AT$30:$AY$30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积水峰值规律!$AT$37:$AY$37</c:f>
              <c:numCache>
                <c:formatCode>0.00_ </c:formatCode>
                <c:ptCount val="6"/>
                <c:pt idx="0">
                  <c:v>13.308148622282497</c:v>
                </c:pt>
                <c:pt idx="1">
                  <c:v>19.676227036892634</c:v>
                </c:pt>
                <c:pt idx="2">
                  <c:v>26.05442870917166</c:v>
                </c:pt>
                <c:pt idx="3">
                  <c:v>26.676051280667501</c:v>
                </c:pt>
                <c:pt idx="4">
                  <c:v>27.294137423591728</c:v>
                </c:pt>
                <c:pt idx="5">
                  <c:v>10.29514802108365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3C-4F03-9A2A-881595602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163679"/>
        <c:axId val="166164159"/>
      </c:lineChart>
      <c:catAx>
        <c:axId val="16616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164159"/>
        <c:crosses val="autoZero"/>
        <c:auto val="1"/>
        <c:lblAlgn val="ctr"/>
        <c:lblOffset val="100"/>
        <c:noMultiLvlLbl val="0"/>
      </c:catAx>
      <c:valAx>
        <c:axId val="16616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16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积水峰值规律!$AT$17</c:f>
              <c:strCache>
                <c:ptCount val="1"/>
                <c:pt idx="0">
                  <c:v>无干旱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积水峰值规律!$AS$18:$AS$24</c:f>
              <c:strCache>
                <c:ptCount val="7"/>
                <c:pt idx="0">
                  <c:v>1a→2a</c:v>
                </c:pt>
                <c:pt idx="1">
                  <c:v>2a→3a</c:v>
                </c:pt>
                <c:pt idx="2">
                  <c:v>3a→5a</c:v>
                </c:pt>
                <c:pt idx="3">
                  <c:v>5a→10a</c:v>
                </c:pt>
                <c:pt idx="4">
                  <c:v>10a→30a</c:v>
                </c:pt>
                <c:pt idx="5">
                  <c:v>30a→50a</c:v>
                </c:pt>
                <c:pt idx="6">
                  <c:v>50a→100a</c:v>
                </c:pt>
              </c:strCache>
            </c:strRef>
          </c:cat>
          <c:val>
            <c:numRef>
              <c:f>积水峰值规律!$AT$18:$AT$24</c:f>
              <c:numCache>
                <c:formatCode>0.00_ </c:formatCode>
                <c:ptCount val="7"/>
                <c:pt idx="0">
                  <c:v>1.5573522599571392</c:v>
                </c:pt>
                <c:pt idx="1">
                  <c:v>0.37995454168981468</c:v>
                </c:pt>
                <c:pt idx="2">
                  <c:v>0.35154441864922781</c:v>
                </c:pt>
                <c:pt idx="3">
                  <c:v>0.41163815110296914</c:v>
                </c:pt>
                <c:pt idx="4">
                  <c:v>0.52138739474962936</c:v>
                </c:pt>
                <c:pt idx="5">
                  <c:v>0.16690041850744708</c:v>
                </c:pt>
                <c:pt idx="6">
                  <c:v>0.19701829757753511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5-4AFD-B8A4-14F6258ABAAF}"/>
            </c:ext>
          </c:extLst>
        </c:ser>
        <c:ser>
          <c:idx val="1"/>
          <c:order val="1"/>
          <c:tx>
            <c:strRef>
              <c:f>积水峰值规律!$AU$17</c:f>
              <c:strCache>
                <c:ptCount val="1"/>
                <c:pt idx="0">
                  <c:v>轻度干旱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积水峰值规律!$AS$18:$AS$24</c:f>
              <c:strCache>
                <c:ptCount val="7"/>
                <c:pt idx="0">
                  <c:v>1a→2a</c:v>
                </c:pt>
                <c:pt idx="1">
                  <c:v>2a→3a</c:v>
                </c:pt>
                <c:pt idx="2">
                  <c:v>3a→5a</c:v>
                </c:pt>
                <c:pt idx="3">
                  <c:v>5a→10a</c:v>
                </c:pt>
                <c:pt idx="4">
                  <c:v>10a→30a</c:v>
                </c:pt>
                <c:pt idx="5">
                  <c:v>30a→50a</c:v>
                </c:pt>
                <c:pt idx="6">
                  <c:v>50a→100a</c:v>
                </c:pt>
              </c:strCache>
            </c:strRef>
          </c:cat>
          <c:val>
            <c:numRef>
              <c:f>积水峰值规律!$AU$18:$AU$24</c:f>
              <c:numCache>
                <c:formatCode>0.00_ </c:formatCode>
                <c:ptCount val="7"/>
                <c:pt idx="0">
                  <c:v>2.3459702985413129</c:v>
                </c:pt>
                <c:pt idx="1">
                  <c:v>0.42578122956642078</c:v>
                </c:pt>
                <c:pt idx="2">
                  <c:v>0.38155340457631676</c:v>
                </c:pt>
                <c:pt idx="3">
                  <c:v>0.40168629124514083</c:v>
                </c:pt>
                <c:pt idx="4">
                  <c:v>0.54020585363455476</c:v>
                </c:pt>
                <c:pt idx="5">
                  <c:v>0.18902455932326717</c:v>
                </c:pt>
                <c:pt idx="6">
                  <c:v>0.22210415290300173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D5-4AFD-B8A4-14F6258ABAAF}"/>
            </c:ext>
          </c:extLst>
        </c:ser>
        <c:ser>
          <c:idx val="2"/>
          <c:order val="2"/>
          <c:tx>
            <c:strRef>
              <c:f>积水峰值规律!$AV$17</c:f>
              <c:strCache>
                <c:ptCount val="1"/>
                <c:pt idx="0">
                  <c:v>中度干旱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积水峰值规律!$AS$18:$AS$24</c:f>
              <c:strCache>
                <c:ptCount val="7"/>
                <c:pt idx="0">
                  <c:v>1a→2a</c:v>
                </c:pt>
                <c:pt idx="1">
                  <c:v>2a→3a</c:v>
                </c:pt>
                <c:pt idx="2">
                  <c:v>3a→5a</c:v>
                </c:pt>
                <c:pt idx="3">
                  <c:v>5a→10a</c:v>
                </c:pt>
                <c:pt idx="4">
                  <c:v>10a→30a</c:v>
                </c:pt>
                <c:pt idx="5">
                  <c:v>30a→50a</c:v>
                </c:pt>
                <c:pt idx="6">
                  <c:v>50a→100a</c:v>
                </c:pt>
              </c:strCache>
            </c:strRef>
          </c:cat>
          <c:val>
            <c:numRef>
              <c:f>积水峰值规律!$AV$18:$AV$24</c:f>
              <c:numCache>
                <c:formatCode>0.00_ </c:formatCode>
                <c:ptCount val="7"/>
                <c:pt idx="0">
                  <c:v>3.1521192296564529</c:v>
                </c:pt>
                <c:pt idx="1">
                  <c:v>0.47458705607140012</c:v>
                </c:pt>
                <c:pt idx="2">
                  <c:v>0.41034645426011485</c:v>
                </c:pt>
                <c:pt idx="3">
                  <c:v>0.3997040730566041</c:v>
                </c:pt>
                <c:pt idx="4">
                  <c:v>0.53224571188766445</c:v>
                </c:pt>
                <c:pt idx="5">
                  <c:v>0.18371281029913888</c:v>
                </c:pt>
                <c:pt idx="6">
                  <c:v>0.23413120820735775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D5-4AFD-B8A4-14F6258ABAAF}"/>
            </c:ext>
          </c:extLst>
        </c:ser>
        <c:ser>
          <c:idx val="3"/>
          <c:order val="3"/>
          <c:tx>
            <c:strRef>
              <c:f>积水峰值规律!$AW$17</c:f>
              <c:strCache>
                <c:ptCount val="1"/>
                <c:pt idx="0">
                  <c:v>严重干旱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积水峰值规律!$AS$18:$AS$24</c:f>
              <c:strCache>
                <c:ptCount val="7"/>
                <c:pt idx="0">
                  <c:v>1a→2a</c:v>
                </c:pt>
                <c:pt idx="1">
                  <c:v>2a→3a</c:v>
                </c:pt>
                <c:pt idx="2">
                  <c:v>3a→5a</c:v>
                </c:pt>
                <c:pt idx="3">
                  <c:v>5a→10a</c:v>
                </c:pt>
                <c:pt idx="4">
                  <c:v>10a→30a</c:v>
                </c:pt>
                <c:pt idx="5">
                  <c:v>30a→50a</c:v>
                </c:pt>
                <c:pt idx="6">
                  <c:v>50a→100a</c:v>
                </c:pt>
              </c:strCache>
            </c:strRef>
          </c:cat>
          <c:val>
            <c:numRef>
              <c:f>积水峰值规律!$AW$18:$AW$24</c:f>
              <c:numCache>
                <c:formatCode>0.00_ </c:formatCode>
                <c:ptCount val="7"/>
                <c:pt idx="0">
                  <c:v>3.2259151380763078</c:v>
                </c:pt>
                <c:pt idx="1">
                  <c:v>0.47929478960726479</c:v>
                </c:pt>
                <c:pt idx="2">
                  <c:v>0.41311489990107353</c:v>
                </c:pt>
                <c:pt idx="3">
                  <c:v>0.40143082534467422</c:v>
                </c:pt>
                <c:pt idx="4">
                  <c:v>0.53080813932047444</c:v>
                </c:pt>
                <c:pt idx="5">
                  <c:v>0.1823925997417836</c:v>
                </c:pt>
                <c:pt idx="6">
                  <c:v>0.23508549219542182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D5-4AFD-B8A4-14F6258ABAAF}"/>
            </c:ext>
          </c:extLst>
        </c:ser>
        <c:ser>
          <c:idx val="4"/>
          <c:order val="4"/>
          <c:tx>
            <c:strRef>
              <c:f>积水峰值规律!$AX$17</c:f>
              <c:strCache>
                <c:ptCount val="1"/>
                <c:pt idx="0">
                  <c:v>特大干旱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积水峰值规律!$AS$18:$AS$24</c:f>
              <c:strCache>
                <c:ptCount val="7"/>
                <c:pt idx="0">
                  <c:v>1a→2a</c:v>
                </c:pt>
                <c:pt idx="1">
                  <c:v>2a→3a</c:v>
                </c:pt>
                <c:pt idx="2">
                  <c:v>3a→5a</c:v>
                </c:pt>
                <c:pt idx="3">
                  <c:v>5a→10a</c:v>
                </c:pt>
                <c:pt idx="4">
                  <c:v>10a→30a</c:v>
                </c:pt>
                <c:pt idx="5">
                  <c:v>30a→50a</c:v>
                </c:pt>
                <c:pt idx="6">
                  <c:v>50a→100a</c:v>
                </c:pt>
              </c:strCache>
            </c:strRef>
          </c:cat>
          <c:val>
            <c:numRef>
              <c:f>积水峰值规律!$AX$18:$AX$24</c:f>
              <c:numCache>
                <c:formatCode>0.00_ </c:formatCode>
                <c:ptCount val="7"/>
                <c:pt idx="0">
                  <c:v>3.300578497235537</c:v>
                </c:pt>
                <c:pt idx="1">
                  <c:v>0.48405506983130986</c:v>
                </c:pt>
                <c:pt idx="2">
                  <c:v>0.41596221181247933</c:v>
                </c:pt>
                <c:pt idx="3">
                  <c:v>0.40315196779288504</c:v>
                </c:pt>
                <c:pt idx="4">
                  <c:v>0.52871765364123191</c:v>
                </c:pt>
                <c:pt idx="5">
                  <c:v>0.18248814743515565</c:v>
                </c:pt>
                <c:pt idx="6">
                  <c:v>0.23435224805029628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D5-4AFD-B8A4-14F6258ABAAF}"/>
            </c:ext>
          </c:extLst>
        </c:ser>
        <c:ser>
          <c:idx val="5"/>
          <c:order val="5"/>
          <c:tx>
            <c:strRef>
              <c:f>积水峰值规律!$AY$17</c:f>
              <c:strCache>
                <c:ptCount val="1"/>
                <c:pt idx="0">
                  <c:v>极端干旱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积水峰值规律!$AS$18:$AS$24</c:f>
              <c:strCache>
                <c:ptCount val="7"/>
                <c:pt idx="0">
                  <c:v>1a→2a</c:v>
                </c:pt>
                <c:pt idx="1">
                  <c:v>2a→3a</c:v>
                </c:pt>
                <c:pt idx="2">
                  <c:v>3a→5a</c:v>
                </c:pt>
                <c:pt idx="3">
                  <c:v>5a→10a</c:v>
                </c:pt>
                <c:pt idx="4">
                  <c:v>10a→30a</c:v>
                </c:pt>
                <c:pt idx="5">
                  <c:v>30a→50a</c:v>
                </c:pt>
                <c:pt idx="6">
                  <c:v>50a→100a</c:v>
                </c:pt>
              </c:strCache>
            </c:strRef>
          </c:cat>
          <c:val>
            <c:numRef>
              <c:f>积水峰值规律!$AY$18:$AY$24</c:f>
              <c:numCache>
                <c:formatCode>0.00_ </c:formatCode>
                <c:ptCount val="7"/>
                <c:pt idx="0">
                  <c:v>1.4039961053008907</c:v>
                </c:pt>
                <c:pt idx="1">
                  <c:v>0.37864270114915582</c:v>
                </c:pt>
                <c:pt idx="2">
                  <c:v>0.31808139610954833</c:v>
                </c:pt>
                <c:pt idx="3">
                  <c:v>0.33777558190536089</c:v>
                </c:pt>
                <c:pt idx="4">
                  <c:v>0.43653982344586362</c:v>
                </c:pt>
                <c:pt idx="5">
                  <c:v>0.14505992758816613</c:v>
                </c:pt>
                <c:pt idx="6">
                  <c:v>0.17499240608342082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D5-4AFD-B8A4-14F6258AB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612287"/>
        <c:axId val="922607967"/>
      </c:lineChart>
      <c:catAx>
        <c:axId val="92261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2607967"/>
        <c:crosses val="autoZero"/>
        <c:auto val="1"/>
        <c:lblAlgn val="ctr"/>
        <c:lblOffset val="100"/>
        <c:noMultiLvlLbl val="0"/>
      </c:catAx>
      <c:valAx>
        <c:axId val="92260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261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积水峰值规律!$AS$18</c:f>
              <c:strCache>
                <c:ptCount val="1"/>
                <c:pt idx="0">
                  <c:v>1a→2a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积水峰值规律!$AT$17:$AY$17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积水峰值规律!$AT$18:$AY$18</c:f>
              <c:numCache>
                <c:formatCode>0.00_ </c:formatCode>
                <c:ptCount val="6"/>
                <c:pt idx="0">
                  <c:v>1.5573522599571392</c:v>
                </c:pt>
                <c:pt idx="1">
                  <c:v>2.3459702985413129</c:v>
                </c:pt>
                <c:pt idx="2">
                  <c:v>3.1521192296564529</c:v>
                </c:pt>
                <c:pt idx="3">
                  <c:v>3.2259151380763078</c:v>
                </c:pt>
                <c:pt idx="4">
                  <c:v>3.300578497235537</c:v>
                </c:pt>
                <c:pt idx="5">
                  <c:v>1.4039961053008907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B-4C72-AF86-7C939118DE1D}"/>
            </c:ext>
          </c:extLst>
        </c:ser>
        <c:ser>
          <c:idx val="1"/>
          <c:order val="1"/>
          <c:tx>
            <c:strRef>
              <c:f>积水峰值规律!$AS$19</c:f>
              <c:strCache>
                <c:ptCount val="1"/>
                <c:pt idx="0">
                  <c:v>2a→3a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积水峰值规律!$AT$17:$AY$17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积水峰值规律!$AT$19:$AY$19</c:f>
              <c:numCache>
                <c:formatCode>0.00_ </c:formatCode>
                <c:ptCount val="6"/>
                <c:pt idx="0">
                  <c:v>0.37995454168981468</c:v>
                </c:pt>
                <c:pt idx="1">
                  <c:v>0.42578122956642078</c:v>
                </c:pt>
                <c:pt idx="2">
                  <c:v>0.47458705607140012</c:v>
                </c:pt>
                <c:pt idx="3">
                  <c:v>0.47929478960726479</c:v>
                </c:pt>
                <c:pt idx="4">
                  <c:v>0.48405506983130986</c:v>
                </c:pt>
                <c:pt idx="5">
                  <c:v>0.37864270114915582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3B-4C72-AF86-7C939118DE1D}"/>
            </c:ext>
          </c:extLst>
        </c:ser>
        <c:ser>
          <c:idx val="2"/>
          <c:order val="2"/>
          <c:tx>
            <c:strRef>
              <c:f>积水峰值规律!$AS$20</c:f>
              <c:strCache>
                <c:ptCount val="1"/>
                <c:pt idx="0">
                  <c:v>3a→5a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积水峰值规律!$AT$17:$AY$17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积水峰值规律!$AT$20:$AY$20</c:f>
              <c:numCache>
                <c:formatCode>0.00_ </c:formatCode>
                <c:ptCount val="6"/>
                <c:pt idx="0">
                  <c:v>0.35154441864922781</c:v>
                </c:pt>
                <c:pt idx="1">
                  <c:v>0.38155340457631676</c:v>
                </c:pt>
                <c:pt idx="2">
                  <c:v>0.41034645426011485</c:v>
                </c:pt>
                <c:pt idx="3">
                  <c:v>0.41311489990107353</c:v>
                </c:pt>
                <c:pt idx="4">
                  <c:v>0.41596221181247933</c:v>
                </c:pt>
                <c:pt idx="5">
                  <c:v>0.31808139610954833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3B-4C72-AF86-7C939118DE1D}"/>
            </c:ext>
          </c:extLst>
        </c:ser>
        <c:ser>
          <c:idx val="3"/>
          <c:order val="3"/>
          <c:tx>
            <c:strRef>
              <c:f>积水峰值规律!$AS$21</c:f>
              <c:strCache>
                <c:ptCount val="1"/>
                <c:pt idx="0">
                  <c:v>5a→10a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积水峰值规律!$AT$17:$AY$17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积水峰值规律!$AT$21:$AY$21</c:f>
              <c:numCache>
                <c:formatCode>0.00_ </c:formatCode>
                <c:ptCount val="6"/>
                <c:pt idx="0">
                  <c:v>0.41163815110296914</c:v>
                </c:pt>
                <c:pt idx="1">
                  <c:v>0.40168629124514083</c:v>
                </c:pt>
                <c:pt idx="2">
                  <c:v>0.3997040730566041</c:v>
                </c:pt>
                <c:pt idx="3">
                  <c:v>0.40143082534467422</c:v>
                </c:pt>
                <c:pt idx="4">
                  <c:v>0.40315196779288504</c:v>
                </c:pt>
                <c:pt idx="5">
                  <c:v>0.33777558190536089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3B-4C72-AF86-7C939118DE1D}"/>
            </c:ext>
          </c:extLst>
        </c:ser>
        <c:ser>
          <c:idx val="4"/>
          <c:order val="4"/>
          <c:tx>
            <c:strRef>
              <c:f>积水峰值规律!$AS$22</c:f>
              <c:strCache>
                <c:ptCount val="1"/>
                <c:pt idx="0">
                  <c:v>10a→30a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积水峰值规律!$AT$17:$AY$17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积水峰值规律!$AT$22:$AY$22</c:f>
              <c:numCache>
                <c:formatCode>0.00_ </c:formatCode>
                <c:ptCount val="6"/>
                <c:pt idx="0">
                  <c:v>0.52138739474962936</c:v>
                </c:pt>
                <c:pt idx="1">
                  <c:v>0.54020585363455476</c:v>
                </c:pt>
                <c:pt idx="2">
                  <c:v>0.53224571188766445</c:v>
                </c:pt>
                <c:pt idx="3">
                  <c:v>0.53080813932047444</c:v>
                </c:pt>
                <c:pt idx="4">
                  <c:v>0.52871765364123191</c:v>
                </c:pt>
                <c:pt idx="5">
                  <c:v>0.43653982344586362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3B-4C72-AF86-7C939118DE1D}"/>
            </c:ext>
          </c:extLst>
        </c:ser>
        <c:ser>
          <c:idx val="5"/>
          <c:order val="5"/>
          <c:tx>
            <c:strRef>
              <c:f>积水峰值规律!$AS$23</c:f>
              <c:strCache>
                <c:ptCount val="1"/>
                <c:pt idx="0">
                  <c:v>30a→50a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积水峰值规律!$AT$17:$AY$17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积水峰值规律!$AT$23:$AY$23</c:f>
              <c:numCache>
                <c:formatCode>0.00_ </c:formatCode>
                <c:ptCount val="6"/>
                <c:pt idx="0">
                  <c:v>0.16690041850744708</c:v>
                </c:pt>
                <c:pt idx="1">
                  <c:v>0.18902455932326717</c:v>
                </c:pt>
                <c:pt idx="2">
                  <c:v>0.18371281029913888</c:v>
                </c:pt>
                <c:pt idx="3">
                  <c:v>0.1823925997417836</c:v>
                </c:pt>
                <c:pt idx="4">
                  <c:v>0.18248814743515565</c:v>
                </c:pt>
                <c:pt idx="5">
                  <c:v>0.14505992758816613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3B-4C72-AF86-7C939118DE1D}"/>
            </c:ext>
          </c:extLst>
        </c:ser>
        <c:ser>
          <c:idx val="6"/>
          <c:order val="6"/>
          <c:tx>
            <c:strRef>
              <c:f>积水峰值规律!$AS$24</c:f>
              <c:strCache>
                <c:ptCount val="1"/>
                <c:pt idx="0">
                  <c:v>50a→100a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积水峰值规律!$AT$17:$AY$17</c:f>
              <c:strCache>
                <c:ptCount val="6"/>
                <c:pt idx="0">
                  <c:v>无干旱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  <c:pt idx="5">
                  <c:v>极端干旱</c:v>
                </c:pt>
              </c:strCache>
            </c:strRef>
          </c:cat>
          <c:val>
            <c:numRef>
              <c:f>积水峰值规律!$AT$24:$AY$24</c:f>
              <c:numCache>
                <c:formatCode>0.00_ </c:formatCode>
                <c:ptCount val="6"/>
                <c:pt idx="0">
                  <c:v>0.19701829757753511</c:v>
                </c:pt>
                <c:pt idx="1">
                  <c:v>0.22210415290300173</c:v>
                </c:pt>
                <c:pt idx="2">
                  <c:v>0.23413120820735775</c:v>
                </c:pt>
                <c:pt idx="3">
                  <c:v>0.23508549219542182</c:v>
                </c:pt>
                <c:pt idx="4">
                  <c:v>0.23435224805029628</c:v>
                </c:pt>
                <c:pt idx="5">
                  <c:v>0.17499240608342082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3B-4C72-AF86-7C939118D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676447"/>
        <c:axId val="508672607"/>
      </c:lineChart>
      <c:catAx>
        <c:axId val="50867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8672607"/>
        <c:crosses val="autoZero"/>
        <c:auto val="1"/>
        <c:lblAlgn val="ctr"/>
        <c:lblOffset val="100"/>
        <c:noMultiLvlLbl val="0"/>
      </c:catAx>
      <c:valAx>
        <c:axId val="50867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867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108923884514429E-2"/>
          <c:y val="5.0925925925925923E-2"/>
          <c:w val="0.87733552055993003"/>
          <c:h val="0.88020778652668419"/>
        </c:manualLayout>
      </c:layout>
      <c:lineChart>
        <c:grouping val="standard"/>
        <c:varyColors val="0"/>
        <c:ser>
          <c:idx val="0"/>
          <c:order val="0"/>
          <c:tx>
            <c:strRef>
              <c:f>积水峰值规律!$K$49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积水峰值规律!$J$50:$J$57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积水峰值规律!$K$50:$K$57</c:f>
              <c:numCache>
                <c:formatCode>0%</c:formatCode>
                <c:ptCount val="8"/>
                <c:pt idx="0">
                  <c:v>-0.43445765225865768</c:v>
                </c:pt>
                <c:pt idx="1">
                  <c:v>-0.26005973923139997</c:v>
                </c:pt>
                <c:pt idx="2">
                  <c:v>-0.23548718241655442</c:v>
                </c:pt>
                <c:pt idx="3">
                  <c:v>-0.21851233936487738</c:v>
                </c:pt>
                <c:pt idx="4">
                  <c:v>-0.22402172268183163</c:v>
                </c:pt>
                <c:pt idx="5">
                  <c:v>-0.21442343406862122</c:v>
                </c:pt>
                <c:pt idx="6">
                  <c:v>-0.19952909836471872</c:v>
                </c:pt>
                <c:pt idx="7">
                  <c:v>-0.18275366788775244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D7-412B-B8CB-FD91A75D1014}"/>
            </c:ext>
          </c:extLst>
        </c:ser>
        <c:ser>
          <c:idx val="1"/>
          <c:order val="1"/>
          <c:tx>
            <c:strRef>
              <c:f>积水峰值规律!$L$49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积水峰值规律!$J$50:$J$57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积水峰值规律!$L$50:$L$57</c:f>
              <c:numCache>
                <c:formatCode>0%</c:formatCode>
                <c:ptCount val="8"/>
                <c:pt idx="0">
                  <c:v>-0.60402699015867645</c:v>
                </c:pt>
                <c:pt idx="1">
                  <c:v>-0.35709789600332231</c:v>
                </c:pt>
                <c:pt idx="2">
                  <c:v>-0.31300989109852551</c:v>
                </c:pt>
                <c:pt idx="3">
                  <c:v>-0.2831208128776817</c:v>
                </c:pt>
                <c:pt idx="4">
                  <c:v>-0.28918135478231061</c:v>
                </c:pt>
                <c:pt idx="5">
                  <c:v>-0.28410816020738622</c:v>
                </c:pt>
                <c:pt idx="6">
                  <c:v>-0.27379378041955205</c:v>
                </c:pt>
                <c:pt idx="7">
                  <c:v>-0.25127814587941688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D7-412B-B8CB-FD91A75D1014}"/>
            </c:ext>
          </c:extLst>
        </c:ser>
        <c:ser>
          <c:idx val="2"/>
          <c:order val="2"/>
          <c:tx>
            <c:strRef>
              <c:f>积水峰值规律!$M$49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积水峰值规律!$J$50:$J$57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积水峰值规律!$M$50:$M$57</c:f>
              <c:numCache>
                <c:formatCode>0%</c:formatCode>
                <c:ptCount val="8"/>
                <c:pt idx="0">
                  <c:v>-0.61570144755384248</c:v>
                </c:pt>
                <c:pt idx="1">
                  <c:v>-0.36496309258926762</c:v>
                </c:pt>
                <c:pt idx="2">
                  <c:v>-0.31924801871323766</c:v>
                </c:pt>
                <c:pt idx="3">
                  <c:v>-0.28823592135067838</c:v>
                </c:pt>
                <c:pt idx="4">
                  <c:v>-0.2933825715798109</c:v>
                </c:pt>
                <c:pt idx="5">
                  <c:v>-0.28900705070627986</c:v>
                </c:pt>
                <c:pt idx="6">
                  <c:v>-0.27956765771944508</c:v>
                </c:pt>
                <c:pt idx="7">
                  <c:v>-0.25665669784680584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D7-412B-B8CB-FD91A75D1014}"/>
            </c:ext>
          </c:extLst>
        </c:ser>
        <c:ser>
          <c:idx val="3"/>
          <c:order val="3"/>
          <c:tx>
            <c:strRef>
              <c:f>积水峰值规律!$N$49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积水峰值规律!$J$50:$J$57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积水峰值规律!$N$50:$N$57</c:f>
              <c:numCache>
                <c:formatCode>0%</c:formatCode>
                <c:ptCount val="8"/>
                <c:pt idx="0">
                  <c:v>-0.62701883439398398</c:v>
                </c:pt>
                <c:pt idx="1">
                  <c:v>-0.37277519182830038</c:v>
                </c:pt>
                <c:pt idx="2">
                  <c:v>-0.32545882609195803</c:v>
                </c:pt>
                <c:pt idx="3">
                  <c:v>-0.29330860356036509</c:v>
                </c:pt>
                <c:pt idx="4">
                  <c:v>-0.29755693924692911</c:v>
                </c:pt>
                <c:pt idx="5">
                  <c:v>-0.2941724695781916</c:v>
                </c:pt>
                <c:pt idx="6">
                  <c:v>-0.28474386021321951</c:v>
                </c:pt>
                <c:pt idx="7">
                  <c:v>-0.26243564875799041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D7-412B-B8CB-FD91A75D1014}"/>
            </c:ext>
          </c:extLst>
        </c:ser>
        <c:ser>
          <c:idx val="4"/>
          <c:order val="4"/>
          <c:tx>
            <c:strRef>
              <c:f>积水峰值规律!$O$49</c:f>
              <c:strCache>
                <c:ptCount val="1"/>
                <c:pt idx="0">
                  <c:v>D5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积水峰值规律!$J$50:$J$57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积水峰值规律!$O$50:$O$57</c:f>
              <c:numCache>
                <c:formatCode>0%</c:formatCode>
                <c:ptCount val="8"/>
                <c:pt idx="0">
                  <c:v>0.43657268986047532</c:v>
                </c:pt>
                <c:pt idx="1">
                  <c:v>0.35042606584987518</c:v>
                </c:pt>
                <c:pt idx="2">
                  <c:v>0.34914229627136795</c:v>
                </c:pt>
                <c:pt idx="3">
                  <c:v>0.31573874811829705</c:v>
                </c:pt>
                <c:pt idx="4">
                  <c:v>0.24689402027290086</c:v>
                </c:pt>
                <c:pt idx="5">
                  <c:v>0.17735490771126786</c:v>
                </c:pt>
                <c:pt idx="6">
                  <c:v>0.15531874355980674</c:v>
                </c:pt>
                <c:pt idx="7">
                  <c:v>0.13406015015462408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D7-412B-B8CB-FD91A75D1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566111"/>
        <c:axId val="2046566591"/>
      </c:lineChart>
      <c:catAx>
        <c:axId val="204656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6566591"/>
        <c:crosses val="autoZero"/>
        <c:auto val="1"/>
        <c:lblAlgn val="ctr"/>
        <c:lblOffset val="100"/>
        <c:noMultiLvlLbl val="0"/>
      </c:catAx>
      <c:valAx>
        <c:axId val="20465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656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3333333333333329E-2"/>
          <c:y val="6.0763342082239678E-2"/>
          <c:w val="0.55781723539818717"/>
          <c:h val="0.173306049704610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积水峰值规律!$J$50</c:f>
              <c:strCache>
                <c:ptCount val="1"/>
                <c:pt idx="0">
                  <c:v>1a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积水峰值规律!$K$49:$O$49</c:f>
              <c:strCache>
                <c:ptCount val="5"/>
                <c:pt idx="0">
                  <c:v>D1</c:v>
                </c:pt>
                <c:pt idx="1">
                  <c:v>D2</c:v>
                </c:pt>
                <c:pt idx="2">
                  <c:v>D4</c:v>
                </c:pt>
                <c:pt idx="3">
                  <c:v>D4</c:v>
                </c:pt>
                <c:pt idx="4">
                  <c:v>D5</c:v>
                </c:pt>
              </c:strCache>
            </c:strRef>
          </c:cat>
          <c:val>
            <c:numRef>
              <c:f>积水峰值规律!$K$50:$O$50</c:f>
              <c:numCache>
                <c:formatCode>0%</c:formatCode>
                <c:ptCount val="5"/>
                <c:pt idx="0">
                  <c:v>-0.43445765225865768</c:v>
                </c:pt>
                <c:pt idx="1">
                  <c:v>-0.60402699015867645</c:v>
                </c:pt>
                <c:pt idx="2">
                  <c:v>-0.61570144755384248</c:v>
                </c:pt>
                <c:pt idx="3">
                  <c:v>-0.62701883439398398</c:v>
                </c:pt>
                <c:pt idx="4">
                  <c:v>0.43657268986047532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9-45D4-8D0D-F5EE0D821BF1}"/>
            </c:ext>
          </c:extLst>
        </c:ser>
        <c:ser>
          <c:idx val="1"/>
          <c:order val="1"/>
          <c:tx>
            <c:strRef>
              <c:f>积水峰值规律!$J$51</c:f>
              <c:strCache>
                <c:ptCount val="1"/>
                <c:pt idx="0">
                  <c:v>2a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积水峰值规律!$K$49:$O$49</c:f>
              <c:strCache>
                <c:ptCount val="5"/>
                <c:pt idx="0">
                  <c:v>D1</c:v>
                </c:pt>
                <c:pt idx="1">
                  <c:v>D2</c:v>
                </c:pt>
                <c:pt idx="2">
                  <c:v>D4</c:v>
                </c:pt>
                <c:pt idx="3">
                  <c:v>D4</c:v>
                </c:pt>
                <c:pt idx="4">
                  <c:v>D5</c:v>
                </c:pt>
              </c:strCache>
            </c:strRef>
          </c:cat>
          <c:val>
            <c:numRef>
              <c:f>积水峰值规律!$K$51:$O$51</c:f>
              <c:numCache>
                <c:formatCode>0%</c:formatCode>
                <c:ptCount val="5"/>
                <c:pt idx="0">
                  <c:v>-0.26005973923139997</c:v>
                </c:pt>
                <c:pt idx="1">
                  <c:v>-0.35709789600332231</c:v>
                </c:pt>
                <c:pt idx="2">
                  <c:v>-0.36496309258926762</c:v>
                </c:pt>
                <c:pt idx="3">
                  <c:v>-0.37277519182830038</c:v>
                </c:pt>
                <c:pt idx="4">
                  <c:v>0.35042606584987518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9-45D4-8D0D-F5EE0D821BF1}"/>
            </c:ext>
          </c:extLst>
        </c:ser>
        <c:ser>
          <c:idx val="2"/>
          <c:order val="2"/>
          <c:tx>
            <c:strRef>
              <c:f>积水峰值规律!$J$52</c:f>
              <c:strCache>
                <c:ptCount val="1"/>
                <c:pt idx="0">
                  <c:v>3a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积水峰值规律!$K$49:$O$49</c:f>
              <c:strCache>
                <c:ptCount val="5"/>
                <c:pt idx="0">
                  <c:v>D1</c:v>
                </c:pt>
                <c:pt idx="1">
                  <c:v>D2</c:v>
                </c:pt>
                <c:pt idx="2">
                  <c:v>D4</c:v>
                </c:pt>
                <c:pt idx="3">
                  <c:v>D4</c:v>
                </c:pt>
                <c:pt idx="4">
                  <c:v>D5</c:v>
                </c:pt>
              </c:strCache>
            </c:strRef>
          </c:cat>
          <c:val>
            <c:numRef>
              <c:f>积水峰值规律!$K$52:$O$52</c:f>
              <c:numCache>
                <c:formatCode>0%</c:formatCode>
                <c:ptCount val="5"/>
                <c:pt idx="0">
                  <c:v>-0.23548718241655442</c:v>
                </c:pt>
                <c:pt idx="1">
                  <c:v>-0.31300989109852551</c:v>
                </c:pt>
                <c:pt idx="2">
                  <c:v>-0.31924801871323766</c:v>
                </c:pt>
                <c:pt idx="3">
                  <c:v>-0.32545882609195803</c:v>
                </c:pt>
                <c:pt idx="4">
                  <c:v>0.34914229627136795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9-45D4-8D0D-F5EE0D821BF1}"/>
            </c:ext>
          </c:extLst>
        </c:ser>
        <c:ser>
          <c:idx val="3"/>
          <c:order val="3"/>
          <c:tx>
            <c:strRef>
              <c:f>积水峰值规律!$J$53</c:f>
              <c:strCache>
                <c:ptCount val="1"/>
                <c:pt idx="0">
                  <c:v>5a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积水峰值规律!$K$49:$O$49</c:f>
              <c:strCache>
                <c:ptCount val="5"/>
                <c:pt idx="0">
                  <c:v>D1</c:v>
                </c:pt>
                <c:pt idx="1">
                  <c:v>D2</c:v>
                </c:pt>
                <c:pt idx="2">
                  <c:v>D4</c:v>
                </c:pt>
                <c:pt idx="3">
                  <c:v>D4</c:v>
                </c:pt>
                <c:pt idx="4">
                  <c:v>D5</c:v>
                </c:pt>
              </c:strCache>
            </c:strRef>
          </c:cat>
          <c:val>
            <c:numRef>
              <c:f>积水峰值规律!$K$53:$O$53</c:f>
              <c:numCache>
                <c:formatCode>0%</c:formatCode>
                <c:ptCount val="5"/>
                <c:pt idx="0">
                  <c:v>-0.21851233936487738</c:v>
                </c:pt>
                <c:pt idx="1">
                  <c:v>-0.2831208128776817</c:v>
                </c:pt>
                <c:pt idx="2">
                  <c:v>-0.28823592135067838</c:v>
                </c:pt>
                <c:pt idx="3">
                  <c:v>-0.29330860356036509</c:v>
                </c:pt>
                <c:pt idx="4">
                  <c:v>0.31573874811829705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9-45D4-8D0D-F5EE0D821BF1}"/>
            </c:ext>
          </c:extLst>
        </c:ser>
        <c:ser>
          <c:idx val="4"/>
          <c:order val="4"/>
          <c:tx>
            <c:strRef>
              <c:f>积水峰值规律!$J$54</c:f>
              <c:strCache>
                <c:ptCount val="1"/>
                <c:pt idx="0">
                  <c:v>10a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积水峰值规律!$K$49:$O$49</c:f>
              <c:strCache>
                <c:ptCount val="5"/>
                <c:pt idx="0">
                  <c:v>D1</c:v>
                </c:pt>
                <c:pt idx="1">
                  <c:v>D2</c:v>
                </c:pt>
                <c:pt idx="2">
                  <c:v>D4</c:v>
                </c:pt>
                <c:pt idx="3">
                  <c:v>D4</c:v>
                </c:pt>
                <c:pt idx="4">
                  <c:v>D5</c:v>
                </c:pt>
              </c:strCache>
            </c:strRef>
          </c:cat>
          <c:val>
            <c:numRef>
              <c:f>积水峰值规律!$K$54:$O$54</c:f>
              <c:numCache>
                <c:formatCode>0%</c:formatCode>
                <c:ptCount val="5"/>
                <c:pt idx="0">
                  <c:v>-0.22402172268183163</c:v>
                </c:pt>
                <c:pt idx="1">
                  <c:v>-0.28918135478231061</c:v>
                </c:pt>
                <c:pt idx="2">
                  <c:v>-0.2933825715798109</c:v>
                </c:pt>
                <c:pt idx="3">
                  <c:v>-0.29755693924692911</c:v>
                </c:pt>
                <c:pt idx="4">
                  <c:v>0.24689402027290086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9-45D4-8D0D-F5EE0D821BF1}"/>
            </c:ext>
          </c:extLst>
        </c:ser>
        <c:ser>
          <c:idx val="5"/>
          <c:order val="5"/>
          <c:tx>
            <c:strRef>
              <c:f>积水峰值规律!$J$55</c:f>
              <c:strCache>
                <c:ptCount val="1"/>
                <c:pt idx="0">
                  <c:v>30a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积水峰值规律!$K$49:$O$49</c:f>
              <c:strCache>
                <c:ptCount val="5"/>
                <c:pt idx="0">
                  <c:v>D1</c:v>
                </c:pt>
                <c:pt idx="1">
                  <c:v>D2</c:v>
                </c:pt>
                <c:pt idx="2">
                  <c:v>D4</c:v>
                </c:pt>
                <c:pt idx="3">
                  <c:v>D4</c:v>
                </c:pt>
                <c:pt idx="4">
                  <c:v>D5</c:v>
                </c:pt>
              </c:strCache>
            </c:strRef>
          </c:cat>
          <c:val>
            <c:numRef>
              <c:f>积水峰值规律!$K$55:$O$55</c:f>
              <c:numCache>
                <c:formatCode>0%</c:formatCode>
                <c:ptCount val="5"/>
                <c:pt idx="0">
                  <c:v>-0.21442343406862122</c:v>
                </c:pt>
                <c:pt idx="1">
                  <c:v>-0.28410816020738622</c:v>
                </c:pt>
                <c:pt idx="2">
                  <c:v>-0.28900705070627986</c:v>
                </c:pt>
                <c:pt idx="3">
                  <c:v>-0.2941724695781916</c:v>
                </c:pt>
                <c:pt idx="4">
                  <c:v>0.17735490771126786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9-45D4-8D0D-F5EE0D821BF1}"/>
            </c:ext>
          </c:extLst>
        </c:ser>
        <c:ser>
          <c:idx val="6"/>
          <c:order val="6"/>
          <c:tx>
            <c:strRef>
              <c:f>积水峰值规律!$J$56</c:f>
              <c:strCache>
                <c:ptCount val="1"/>
                <c:pt idx="0">
                  <c:v>50a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积水峰值规律!$K$49:$O$49</c:f>
              <c:strCache>
                <c:ptCount val="5"/>
                <c:pt idx="0">
                  <c:v>D1</c:v>
                </c:pt>
                <c:pt idx="1">
                  <c:v>D2</c:v>
                </c:pt>
                <c:pt idx="2">
                  <c:v>D4</c:v>
                </c:pt>
                <c:pt idx="3">
                  <c:v>D4</c:v>
                </c:pt>
                <c:pt idx="4">
                  <c:v>D5</c:v>
                </c:pt>
              </c:strCache>
            </c:strRef>
          </c:cat>
          <c:val>
            <c:numRef>
              <c:f>积水峰值规律!$K$56:$O$56</c:f>
              <c:numCache>
                <c:formatCode>0%</c:formatCode>
                <c:ptCount val="5"/>
                <c:pt idx="0">
                  <c:v>-0.19952909836471872</c:v>
                </c:pt>
                <c:pt idx="1">
                  <c:v>-0.27379378041955205</c:v>
                </c:pt>
                <c:pt idx="2">
                  <c:v>-0.27956765771944508</c:v>
                </c:pt>
                <c:pt idx="3">
                  <c:v>-0.28474386021321951</c:v>
                </c:pt>
                <c:pt idx="4">
                  <c:v>0.15531874355980674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59-45D4-8D0D-F5EE0D821BF1}"/>
            </c:ext>
          </c:extLst>
        </c:ser>
        <c:ser>
          <c:idx val="7"/>
          <c:order val="7"/>
          <c:tx>
            <c:strRef>
              <c:f>积水峰值规律!$J$57</c:f>
              <c:strCache>
                <c:ptCount val="1"/>
                <c:pt idx="0">
                  <c:v>100a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积水峰值规律!$K$49:$O$49</c:f>
              <c:strCache>
                <c:ptCount val="5"/>
                <c:pt idx="0">
                  <c:v>D1</c:v>
                </c:pt>
                <c:pt idx="1">
                  <c:v>D2</c:v>
                </c:pt>
                <c:pt idx="2">
                  <c:v>D4</c:v>
                </c:pt>
                <c:pt idx="3">
                  <c:v>D4</c:v>
                </c:pt>
                <c:pt idx="4">
                  <c:v>D5</c:v>
                </c:pt>
              </c:strCache>
            </c:strRef>
          </c:cat>
          <c:val>
            <c:numRef>
              <c:f>积水峰值规律!$K$57:$O$57</c:f>
              <c:numCache>
                <c:formatCode>0%</c:formatCode>
                <c:ptCount val="5"/>
                <c:pt idx="0">
                  <c:v>-0.18275366788775244</c:v>
                </c:pt>
                <c:pt idx="1">
                  <c:v>-0.25127814587941688</c:v>
                </c:pt>
                <c:pt idx="2">
                  <c:v>-0.25665669784680584</c:v>
                </c:pt>
                <c:pt idx="3">
                  <c:v>-0.26243564875799041</c:v>
                </c:pt>
                <c:pt idx="4">
                  <c:v>0.13406015015462408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59-45D4-8D0D-F5EE0D821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176719"/>
        <c:axId val="1992176239"/>
      </c:lineChart>
      <c:catAx>
        <c:axId val="199217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176239"/>
        <c:crosses val="autoZero"/>
        <c:auto val="1"/>
        <c:lblAlgn val="ctr"/>
        <c:lblOffset val="100"/>
        <c:noMultiLvlLbl val="0"/>
      </c:catAx>
      <c:valAx>
        <c:axId val="199217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17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9465208541633626E-2"/>
          <c:y val="3.6348844777090793E-2"/>
          <c:w val="0.89999981671100748"/>
          <c:h val="8.94114996620691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积水峰值规律!$C$4</c:f>
              <c:strCache>
                <c:ptCount val="1"/>
                <c:pt idx="0">
                  <c:v>D0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积水峰值规律!$C$5:$C$12</c:f>
              <c:numCache>
                <c:formatCode>0.00_ </c:formatCode>
                <c:ptCount val="8"/>
                <c:pt idx="0">
                  <c:v>14.47560552749972</c:v>
                </c:pt>
                <c:pt idx="1">
                  <c:v>37.019222509999466</c:v>
                </c:pt>
                <c:pt idx="2">
                  <c:v>51.084844232499584</c:v>
                </c:pt>
                <c:pt idx="3">
                  <c:v>69.043436100000008</c:v>
                </c:pt>
                <c:pt idx="4">
                  <c:v>97.464348482000005</c:v>
                </c:pt>
                <c:pt idx="5">
                  <c:v>148.28103121799998</c:v>
                </c:pt>
                <c:pt idx="6">
                  <c:v>173.029197385</c:v>
                </c:pt>
                <c:pt idx="7">
                  <c:v>207.11911528499999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3-45BF-BF9A-10B0499F08B1}"/>
            </c:ext>
          </c:extLst>
        </c:ser>
        <c:ser>
          <c:idx val="1"/>
          <c:order val="1"/>
          <c:tx>
            <c:strRef>
              <c:f>积水峰值规律!$H$4</c:f>
              <c:strCache>
                <c:ptCount val="1"/>
                <c:pt idx="0">
                  <c:v>D5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积水峰值规律!$H$5:$H$12</c:f>
              <c:numCache>
                <c:formatCode>0.00_ </c:formatCode>
                <c:ptCount val="8"/>
                <c:pt idx="0">
                  <c:v>20.795259569999438</c:v>
                </c:pt>
                <c:pt idx="1">
                  <c:v>49.991723014999721</c:v>
                </c:pt>
                <c:pt idx="2">
                  <c:v>68.920724052499637</c:v>
                </c:pt>
                <c:pt idx="3">
                  <c:v>90.843124179999649</c:v>
                </c:pt>
                <c:pt idx="4">
                  <c:v>121.52771331199999</c:v>
                </c:pt>
                <c:pt idx="5">
                  <c:v>174.579399825</c:v>
                </c:pt>
                <c:pt idx="6">
                  <c:v>199.903874922</c:v>
                </c:pt>
                <c:pt idx="7">
                  <c:v>234.88553497999999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83-45BF-BF9A-10B0499F0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290703"/>
        <c:axId val="927292143"/>
      </c:barChart>
      <c:catAx>
        <c:axId val="92729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7292143"/>
        <c:crosses val="autoZero"/>
        <c:auto val="1"/>
        <c:lblAlgn val="ctr"/>
        <c:lblOffset val="100"/>
        <c:noMultiLvlLbl val="0"/>
      </c:catAx>
      <c:valAx>
        <c:axId val="92729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729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积水峰值规律!$C$4</c:f>
              <c:strCache>
                <c:ptCount val="1"/>
                <c:pt idx="0">
                  <c:v>D0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积水峰值规律!$C$5:$C$12</c:f>
              <c:numCache>
                <c:formatCode>0.00_ </c:formatCode>
                <c:ptCount val="8"/>
                <c:pt idx="0">
                  <c:v>14.47560552749972</c:v>
                </c:pt>
                <c:pt idx="1">
                  <c:v>37.019222509999466</c:v>
                </c:pt>
                <c:pt idx="2">
                  <c:v>51.084844232499584</c:v>
                </c:pt>
                <c:pt idx="3">
                  <c:v>69.043436100000008</c:v>
                </c:pt>
                <c:pt idx="4">
                  <c:v>97.464348482000005</c:v>
                </c:pt>
                <c:pt idx="5">
                  <c:v>148.28103121799998</c:v>
                </c:pt>
                <c:pt idx="6">
                  <c:v>173.029197385</c:v>
                </c:pt>
                <c:pt idx="7">
                  <c:v>207.11911528499999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5-4CCD-BABC-797962EF6E37}"/>
            </c:ext>
          </c:extLst>
        </c:ser>
        <c:ser>
          <c:idx val="1"/>
          <c:order val="1"/>
          <c:tx>
            <c:strRef>
              <c:f>积水峰值规律!$D$4</c:f>
              <c:strCache>
                <c:ptCount val="1"/>
                <c:pt idx="0">
                  <c:v>D1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积水峰值规律!$D$5:$D$12</c:f>
              <c:numCache>
                <c:formatCode>0.00_ </c:formatCode>
                <c:ptCount val="8"/>
                <c:pt idx="0">
                  <c:v>8.1865679349997436</c:v>
                </c:pt>
                <c:pt idx="1">
                  <c:v>27.392013157499832</c:v>
                </c:pt>
                <c:pt idx="2">
                  <c:v>39.055018199999687</c:v>
                </c:pt>
                <c:pt idx="3">
                  <c:v>53.95659335999958</c:v>
                </c:pt>
                <c:pt idx="4">
                  <c:v>75.630217235000003</c:v>
                </c:pt>
                <c:pt idx="5">
                  <c:v>116.486103297</c:v>
                </c:pt>
                <c:pt idx="6">
                  <c:v>138.50483764000001</c:v>
                </c:pt>
                <c:pt idx="7">
                  <c:v>169.267337277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25-4CCD-BABC-797962EF6E37}"/>
            </c:ext>
          </c:extLst>
        </c:ser>
        <c:ser>
          <c:idx val="2"/>
          <c:order val="2"/>
          <c:tx>
            <c:strRef>
              <c:f>积水峰值规律!$E$4</c:f>
              <c:strCache>
                <c:ptCount val="1"/>
                <c:pt idx="0">
                  <c:v>D2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积水峰值规律!$E$5:$E$12</c:f>
              <c:numCache>
                <c:formatCode>0.00_ </c:formatCode>
                <c:ptCount val="8"/>
                <c:pt idx="0">
                  <c:v>5.7319490899997643</c:v>
                </c:pt>
                <c:pt idx="1">
                  <c:v>23.799736039999829</c:v>
                </c:pt>
                <c:pt idx="2">
                  <c:v>35.094782702499749</c:v>
                </c:pt>
                <c:pt idx="3">
                  <c:v>49.495802347499733</c:v>
                </c:pt>
                <c:pt idx="4">
                  <c:v>69.279476145000004</c:v>
                </c:pt>
                <c:pt idx="5">
                  <c:v>106.153180245</c:v>
                </c:pt>
                <c:pt idx="6">
                  <c:v>125.65487930999998</c:v>
                </c:pt>
                <c:pt idx="7">
                  <c:v>155.07460802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25-4CCD-BABC-797962EF6E37}"/>
            </c:ext>
          </c:extLst>
        </c:ser>
        <c:ser>
          <c:idx val="3"/>
          <c:order val="3"/>
          <c:tx>
            <c:strRef>
              <c:f>积水峰值规律!$F$4</c:f>
              <c:strCache>
                <c:ptCount val="1"/>
                <c:pt idx="0">
                  <c:v>D3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积水峰值规律!$F$5:$F$12</c:f>
              <c:numCache>
                <c:formatCode>0.00_ </c:formatCode>
                <c:ptCount val="8"/>
                <c:pt idx="0">
                  <c:v>5.5629542499997395</c:v>
                </c:pt>
                <c:pt idx="1">
                  <c:v>23.50857257749983</c:v>
                </c:pt>
                <c:pt idx="2">
                  <c:v>34.776108924999726</c:v>
                </c:pt>
                <c:pt idx="3">
                  <c:v>49.142637682499817</c:v>
                </c:pt>
                <c:pt idx="4">
                  <c:v>68.870007287000007</c:v>
                </c:pt>
                <c:pt idx="5">
                  <c:v>105.42676770999999</c:v>
                </c:pt>
                <c:pt idx="6">
                  <c:v>124.65582995500002</c:v>
                </c:pt>
                <c:pt idx="7">
                  <c:v>153.960607095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25-4CCD-BABC-797962EF6E37}"/>
            </c:ext>
          </c:extLst>
        </c:ser>
        <c:ser>
          <c:idx val="4"/>
          <c:order val="4"/>
          <c:tx>
            <c:strRef>
              <c:f>积水峰值规律!$G$4</c:f>
              <c:strCache>
                <c:ptCount val="1"/>
                <c:pt idx="0">
                  <c:v>D4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积水峰值规律!$B$5:$B$12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积水峰值规律!$G$5:$G$12</c:f>
              <c:numCache>
                <c:formatCode>0.00_ </c:formatCode>
                <c:ptCount val="8"/>
                <c:pt idx="0">
                  <c:v>5.3991282224997335</c:v>
                </c:pt>
                <c:pt idx="1">
                  <c:v>23.21937473749988</c:v>
                </c:pt>
                <c:pt idx="2">
                  <c:v>34.458830797499736</c:v>
                </c:pt>
                <c:pt idx="3">
                  <c:v>48.792402272499707</c:v>
                </c:pt>
                <c:pt idx="4">
                  <c:v>68.463155262000001</c:v>
                </c:pt>
                <c:pt idx="5">
                  <c:v>104.660834073</c:v>
                </c:pt>
                <c:pt idx="6">
                  <c:v>123.76019579199999</c:v>
                </c:pt>
                <c:pt idx="7">
                  <c:v>152.76367589500001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25-4CCD-BABC-797962EF6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58132959"/>
        <c:axId val="1858136319"/>
      </c:barChart>
      <c:catAx>
        <c:axId val="185813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8136319"/>
        <c:crosses val="autoZero"/>
        <c:auto val="1"/>
        <c:lblAlgn val="ctr"/>
        <c:lblOffset val="100"/>
        <c:noMultiLvlLbl val="0"/>
      </c:catAx>
      <c:valAx>
        <c:axId val="185813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813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75696177047907"/>
          <c:y val="5.0263695507785658E-2"/>
          <c:w val="0.7834507948605488"/>
          <c:h val="0.822321572391205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积水峰值规律!$K$49</c:f>
              <c:strCache>
                <c:ptCount val="1"/>
                <c:pt idx="0">
                  <c:v>D1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积水峰值规律!$J$50:$J$57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积水峰值规律!$K$50:$K$57</c:f>
              <c:numCache>
                <c:formatCode>0%</c:formatCode>
                <c:ptCount val="8"/>
                <c:pt idx="0">
                  <c:v>-0.43445765225865768</c:v>
                </c:pt>
                <c:pt idx="1">
                  <c:v>-0.26005973923139997</c:v>
                </c:pt>
                <c:pt idx="2">
                  <c:v>-0.23548718241655442</c:v>
                </c:pt>
                <c:pt idx="3">
                  <c:v>-0.21851233936487738</c:v>
                </c:pt>
                <c:pt idx="4">
                  <c:v>-0.22402172268183163</c:v>
                </c:pt>
                <c:pt idx="5">
                  <c:v>-0.21442343406862122</c:v>
                </c:pt>
                <c:pt idx="6">
                  <c:v>-0.19952909836471872</c:v>
                </c:pt>
                <c:pt idx="7">
                  <c:v>-0.18275366788775244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425-848A-A42ABA8594EC}"/>
            </c:ext>
          </c:extLst>
        </c:ser>
        <c:ser>
          <c:idx val="1"/>
          <c:order val="1"/>
          <c:tx>
            <c:strRef>
              <c:f>积水峰值规律!$L$49</c:f>
              <c:strCache>
                <c:ptCount val="1"/>
                <c:pt idx="0">
                  <c:v>D2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积水峰值规律!$J$50:$J$57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积水峰值规律!$L$50:$L$57</c:f>
              <c:numCache>
                <c:formatCode>0%</c:formatCode>
                <c:ptCount val="8"/>
                <c:pt idx="0">
                  <c:v>-0.60402699015867645</c:v>
                </c:pt>
                <c:pt idx="1">
                  <c:v>-0.35709789600332231</c:v>
                </c:pt>
                <c:pt idx="2">
                  <c:v>-0.31300989109852551</c:v>
                </c:pt>
                <c:pt idx="3">
                  <c:v>-0.2831208128776817</c:v>
                </c:pt>
                <c:pt idx="4">
                  <c:v>-0.28918135478231061</c:v>
                </c:pt>
                <c:pt idx="5">
                  <c:v>-0.28410816020738622</c:v>
                </c:pt>
                <c:pt idx="6">
                  <c:v>-0.27379378041955205</c:v>
                </c:pt>
                <c:pt idx="7">
                  <c:v>-0.25127814587941688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425-848A-A42ABA8594EC}"/>
            </c:ext>
          </c:extLst>
        </c:ser>
        <c:ser>
          <c:idx val="2"/>
          <c:order val="2"/>
          <c:tx>
            <c:strRef>
              <c:f>积水峰值规律!$M$49</c:f>
              <c:strCache>
                <c:ptCount val="1"/>
                <c:pt idx="0">
                  <c:v>D4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积水峰值规律!$J$50:$J$57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积水峰值规律!$M$50:$M$57</c:f>
              <c:numCache>
                <c:formatCode>0%</c:formatCode>
                <c:ptCount val="8"/>
                <c:pt idx="0">
                  <c:v>-0.61570144755384248</c:v>
                </c:pt>
                <c:pt idx="1">
                  <c:v>-0.36496309258926762</c:v>
                </c:pt>
                <c:pt idx="2">
                  <c:v>-0.31924801871323766</c:v>
                </c:pt>
                <c:pt idx="3">
                  <c:v>-0.28823592135067838</c:v>
                </c:pt>
                <c:pt idx="4">
                  <c:v>-0.2933825715798109</c:v>
                </c:pt>
                <c:pt idx="5">
                  <c:v>-0.28900705070627986</c:v>
                </c:pt>
                <c:pt idx="6">
                  <c:v>-0.27956765771944508</c:v>
                </c:pt>
                <c:pt idx="7">
                  <c:v>-0.25665669784680584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27-4425-848A-A42ABA8594EC}"/>
            </c:ext>
          </c:extLst>
        </c:ser>
        <c:ser>
          <c:idx val="3"/>
          <c:order val="3"/>
          <c:tx>
            <c:strRef>
              <c:f>积水峰值规律!$N$49</c:f>
              <c:strCache>
                <c:ptCount val="1"/>
                <c:pt idx="0">
                  <c:v>D4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积水峰值规律!$J$50:$J$57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积水峰值规律!$N$50:$N$57</c:f>
              <c:numCache>
                <c:formatCode>0%</c:formatCode>
                <c:ptCount val="8"/>
                <c:pt idx="0">
                  <c:v>-0.62701883439398398</c:v>
                </c:pt>
                <c:pt idx="1">
                  <c:v>-0.37277519182830038</c:v>
                </c:pt>
                <c:pt idx="2">
                  <c:v>-0.32545882609195803</c:v>
                </c:pt>
                <c:pt idx="3">
                  <c:v>-0.29330860356036509</c:v>
                </c:pt>
                <c:pt idx="4">
                  <c:v>-0.29755693924692911</c:v>
                </c:pt>
                <c:pt idx="5">
                  <c:v>-0.2941724695781916</c:v>
                </c:pt>
                <c:pt idx="6">
                  <c:v>-0.28474386021321951</c:v>
                </c:pt>
                <c:pt idx="7">
                  <c:v>-0.26243564875799041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27-4425-848A-A42ABA8594EC}"/>
            </c:ext>
          </c:extLst>
        </c:ser>
        <c:ser>
          <c:idx val="4"/>
          <c:order val="4"/>
          <c:tx>
            <c:strRef>
              <c:f>积水峰值规律!$O$49</c:f>
              <c:strCache>
                <c:ptCount val="1"/>
                <c:pt idx="0">
                  <c:v>D5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积水峰值规律!$J$50:$J$57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积水峰值规律!$O$50:$O$57</c:f>
              <c:numCache>
                <c:formatCode>0%</c:formatCode>
                <c:ptCount val="8"/>
                <c:pt idx="0">
                  <c:v>0.43657268986047532</c:v>
                </c:pt>
                <c:pt idx="1">
                  <c:v>0.35042606584987518</c:v>
                </c:pt>
                <c:pt idx="2">
                  <c:v>0.34914229627136795</c:v>
                </c:pt>
                <c:pt idx="3">
                  <c:v>0.31573874811829705</c:v>
                </c:pt>
                <c:pt idx="4">
                  <c:v>0.24689402027290086</c:v>
                </c:pt>
                <c:pt idx="5">
                  <c:v>0.17735490771126786</c:v>
                </c:pt>
                <c:pt idx="6">
                  <c:v>0.15531874355980674</c:v>
                </c:pt>
                <c:pt idx="7">
                  <c:v>0.13406015015462408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27-4425-848A-A42ABA859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3595615"/>
        <c:axId val="1803596095"/>
      </c:barChart>
      <c:catAx>
        <c:axId val="1803595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Return Period</a:t>
                </a:r>
                <a:endParaRPr lang="zh-CN" altLang="en-US"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885742840503016"/>
              <c:y val="0.888567058847217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03596095"/>
        <c:crosses val="autoZero"/>
        <c:auto val="1"/>
        <c:lblAlgn val="ctr"/>
        <c:lblOffset val="100"/>
        <c:noMultiLvlLbl val="0"/>
      </c:catAx>
      <c:valAx>
        <c:axId val="1803596095"/>
        <c:scaling>
          <c:orientation val="minMax"/>
          <c:max val="0.55000000000000004"/>
          <c:min val="-0.6500000000000001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Reduction Rate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568812418662506E-2"/>
              <c:y val="0.296969801202716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03595615"/>
        <c:crosses val="autoZero"/>
        <c:crossBetween val="between"/>
        <c:majorUnit val="0.2"/>
        <c:minorUnit val="5.000000000000001E-2"/>
      </c:valAx>
      <c:spPr>
        <a:noFill/>
        <a:ln w="63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5208618597749078"/>
          <c:y val="0.76829655135471719"/>
          <c:w val="0.46024870802321238"/>
          <c:h val="7.7517265725428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消退速率结果!$P$34</c:f>
              <c:strCache>
                <c:ptCount val="1"/>
                <c:pt idx="0">
                  <c:v>轻度干旱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消退速率结果!$O$35:$O$42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消退速率结果!$P$35:$P$42</c:f>
              <c:numCache>
                <c:formatCode>0.000_ </c:formatCode>
                <c:ptCount val="8"/>
                <c:pt idx="0">
                  <c:v>-0.15187238413552431</c:v>
                </c:pt>
                <c:pt idx="1">
                  <c:v>0.30746809678071835</c:v>
                </c:pt>
                <c:pt idx="2">
                  <c:v>0.63143505878745454</c:v>
                </c:pt>
                <c:pt idx="3">
                  <c:v>0.71388668665857014</c:v>
                </c:pt>
                <c:pt idx="4">
                  <c:v>3.8032622649270383E-2</c:v>
                </c:pt>
                <c:pt idx="5">
                  <c:v>-8.9727568518097864E-2</c:v>
                </c:pt>
                <c:pt idx="6">
                  <c:v>-7.1614212684609713E-2</c:v>
                </c:pt>
                <c:pt idx="7">
                  <c:v>-4.969277773618367E-2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3C-46A4-957C-ADE8300FEBD1}"/>
            </c:ext>
          </c:extLst>
        </c:ser>
        <c:ser>
          <c:idx val="1"/>
          <c:order val="1"/>
          <c:tx>
            <c:strRef>
              <c:f>消退速率结果!$Q$34</c:f>
              <c:strCache>
                <c:ptCount val="1"/>
                <c:pt idx="0">
                  <c:v>中度干旱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消退速率结果!$O$35:$O$42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消退速率结果!$Q$35:$Q$42</c:f>
              <c:numCache>
                <c:formatCode>0.000_ </c:formatCode>
                <c:ptCount val="8"/>
                <c:pt idx="0">
                  <c:v>-0.38321777235193527</c:v>
                </c:pt>
                <c:pt idx="1">
                  <c:v>0.29685894954824238</c:v>
                </c:pt>
                <c:pt idx="2">
                  <c:v>0.76288760730694427</c:v>
                </c:pt>
                <c:pt idx="3">
                  <c:v>1.0303378574758526</c:v>
                </c:pt>
                <c:pt idx="4">
                  <c:v>8.7856737684229885E-2</c:v>
                </c:pt>
                <c:pt idx="5">
                  <c:v>-0.11784171627194466</c:v>
                </c:pt>
                <c:pt idx="6">
                  <c:v>-5.5662578178430205E-2</c:v>
                </c:pt>
                <c:pt idx="7">
                  <c:v>-2.8861262773574769E-2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3C-46A4-957C-ADE8300FEBD1}"/>
            </c:ext>
          </c:extLst>
        </c:ser>
        <c:ser>
          <c:idx val="2"/>
          <c:order val="2"/>
          <c:tx>
            <c:strRef>
              <c:f>消退速率结果!$R$34</c:f>
              <c:strCache>
                <c:ptCount val="1"/>
                <c:pt idx="0">
                  <c:v>严重干旱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消退速率结果!$O$35:$O$42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消退速率结果!$R$35:$R$42</c:f>
              <c:numCache>
                <c:formatCode>0.000_ </c:formatCode>
                <c:ptCount val="8"/>
                <c:pt idx="0">
                  <c:v>-0.4007172077663459</c:v>
                </c:pt>
                <c:pt idx="1">
                  <c:v>0.29182502285298945</c:v>
                </c:pt>
                <c:pt idx="2">
                  <c:v>0.76829337540413922</c:v>
                </c:pt>
                <c:pt idx="3">
                  <c:v>1.0505717295061798</c:v>
                </c:pt>
                <c:pt idx="4">
                  <c:v>0.10072086363749234</c:v>
                </c:pt>
                <c:pt idx="5">
                  <c:v>-0.1140519122457516</c:v>
                </c:pt>
                <c:pt idx="6">
                  <c:v>-5.5187794384695121E-2</c:v>
                </c:pt>
                <c:pt idx="7">
                  <c:v>-2.770356044944319E-2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3C-46A4-957C-ADE8300FEBD1}"/>
            </c:ext>
          </c:extLst>
        </c:ser>
        <c:ser>
          <c:idx val="3"/>
          <c:order val="3"/>
          <c:tx>
            <c:strRef>
              <c:f>消退速率结果!$S$34</c:f>
              <c:strCache>
                <c:ptCount val="1"/>
                <c:pt idx="0">
                  <c:v>特大干旱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消退速率结果!$O$35:$O$42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消退速率结果!$S$35:$S$42</c:f>
              <c:numCache>
                <c:formatCode>0.000_ </c:formatCode>
                <c:ptCount val="8"/>
                <c:pt idx="0">
                  <c:v>-0.41777131614630991</c:v>
                </c:pt>
                <c:pt idx="1">
                  <c:v>0.28628173000961238</c:v>
                </c:pt>
                <c:pt idx="2">
                  <c:v>0.77205728096838611</c:v>
                </c:pt>
                <c:pt idx="3">
                  <c:v>1.0700153355555042</c:v>
                </c:pt>
                <c:pt idx="4">
                  <c:v>0.11419521055675778</c:v>
                </c:pt>
                <c:pt idx="5">
                  <c:v>-0.1113130168446967</c:v>
                </c:pt>
                <c:pt idx="6">
                  <c:v>-5.1980603364675873E-2</c:v>
                </c:pt>
                <c:pt idx="7">
                  <c:v>-2.7166626912211105E-2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3C-46A4-957C-ADE8300FEBD1}"/>
            </c:ext>
          </c:extLst>
        </c:ser>
        <c:ser>
          <c:idx val="4"/>
          <c:order val="4"/>
          <c:tx>
            <c:strRef>
              <c:f>消退速率结果!$T$34</c:f>
              <c:strCache>
                <c:ptCount val="1"/>
                <c:pt idx="0">
                  <c:v>极端干旱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消退速率结果!$O$35:$O$42</c:f>
              <c:strCache>
                <c:ptCount val="8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5a</c:v>
                </c:pt>
                <c:pt idx="4">
                  <c:v>10a</c:v>
                </c:pt>
                <c:pt idx="5">
                  <c:v>30a</c:v>
                </c:pt>
                <c:pt idx="6">
                  <c:v>50a</c:v>
                </c:pt>
                <c:pt idx="7">
                  <c:v>100a</c:v>
                </c:pt>
              </c:strCache>
            </c:strRef>
          </c:cat>
          <c:val>
            <c:numRef>
              <c:f>消退速率结果!$T$35:$T$42</c:f>
              <c:numCache>
                <c:formatCode>0.000_ </c:formatCode>
                <c:ptCount val="8"/>
                <c:pt idx="0">
                  <c:v>-0.18358628712542438</c:v>
                </c:pt>
                <c:pt idx="1">
                  <c:v>-0.23727224514346057</c:v>
                </c:pt>
                <c:pt idx="2">
                  <c:v>0.25732154175275601</c:v>
                </c:pt>
                <c:pt idx="3">
                  <c:v>0.84916336252441671</c:v>
                </c:pt>
                <c:pt idx="4">
                  <c:v>0.29929669379081925</c:v>
                </c:pt>
                <c:pt idx="5">
                  <c:v>-1.3070839227383601E-2</c:v>
                </c:pt>
                <c:pt idx="6">
                  <c:v>-9.6950546486282898E-3</c:v>
                </c:pt>
                <c:pt idx="7">
                  <c:v>1.4842466868053253E-3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3C-46A4-957C-ADE8300FE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4831680"/>
        <c:axId val="1794825920"/>
      </c:lineChart>
      <c:catAx>
        <c:axId val="179483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4825920"/>
        <c:crosses val="autoZero"/>
        <c:auto val="1"/>
        <c:lblAlgn val="ctr"/>
        <c:lblOffset val="100"/>
        <c:noMultiLvlLbl val="0"/>
      </c:catAx>
      <c:valAx>
        <c:axId val="17948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483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消退速率结果!$O$65</c:f>
              <c:strCache>
                <c:ptCount val="1"/>
                <c:pt idx="0">
                  <c:v>2a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消退速率结果!$P$63:$T$63</c:f>
              <c:strCache>
                <c:ptCount val="5"/>
                <c:pt idx="0">
                  <c:v>正常干旱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</c:strCache>
            </c:strRef>
          </c:cat>
          <c:val>
            <c:numRef>
              <c:f>消退速率结果!$P$65:$T$65</c:f>
              <c:numCache>
                <c:formatCode>0.00_ </c:formatCode>
                <c:ptCount val="5"/>
                <c:pt idx="0">
                  <c:v>0.67098629559156142</c:v>
                </c:pt>
                <c:pt idx="1">
                  <c:v>1.5759817635661919</c:v>
                </c:pt>
                <c:pt idx="2">
                  <c:v>2.5134500231528856</c:v>
                </c:pt>
                <c:pt idx="3">
                  <c:v>2.6020088303285989</c:v>
                </c:pt>
                <c:pt idx="4">
                  <c:v>2.6916064129468174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9-4A72-9CE9-717EFA5CDEC3}"/>
            </c:ext>
          </c:extLst>
        </c:ser>
        <c:ser>
          <c:idx val="1"/>
          <c:order val="1"/>
          <c:tx>
            <c:strRef>
              <c:f>消退速率结果!$O$66</c:f>
              <c:strCache>
                <c:ptCount val="1"/>
                <c:pt idx="0">
                  <c:v>3a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消退速率结果!$P$63:$T$63</c:f>
              <c:strCache>
                <c:ptCount val="5"/>
                <c:pt idx="0">
                  <c:v>正常干旱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</c:strCache>
            </c:strRef>
          </c:cat>
          <c:val>
            <c:numRef>
              <c:f>消退速率结果!$P$66:$T$66</c:f>
              <c:numCache>
                <c:formatCode>0.00_ </c:formatCode>
                <c:ptCount val="5"/>
                <c:pt idx="0">
                  <c:v>0.57803942565958644</c:v>
                </c:pt>
                <c:pt idx="1">
                  <c:v>2.0354734299575603</c:v>
                </c:pt>
                <c:pt idx="2">
                  <c:v>3.5103539347187636</c:v>
                </c:pt>
                <c:pt idx="3">
                  <c:v>3.6562936541525741</c:v>
                </c:pt>
                <c:pt idx="4">
                  <c:v>3.8028830104803797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9-4A72-9CE9-717EFA5CDEC3}"/>
            </c:ext>
          </c:extLst>
        </c:ser>
        <c:ser>
          <c:idx val="2"/>
          <c:order val="2"/>
          <c:tx>
            <c:strRef>
              <c:f>消退速率结果!$O$67</c:f>
              <c:strCache>
                <c:ptCount val="1"/>
                <c:pt idx="0">
                  <c:v>5a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消退速率结果!$P$63:$T$63</c:f>
              <c:strCache>
                <c:ptCount val="5"/>
                <c:pt idx="0">
                  <c:v>正常干旱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</c:strCache>
            </c:strRef>
          </c:cat>
          <c:val>
            <c:numRef>
              <c:f>消退速率结果!$P$67:$T$67</c:f>
              <c:numCache>
                <c:formatCode>0.00_ </c:formatCode>
                <c:ptCount val="5"/>
                <c:pt idx="0">
                  <c:v>0.56072663959941105</c:v>
                </c:pt>
                <c:pt idx="1">
                  <c:v>2.1538987283138167</c:v>
                </c:pt>
                <c:pt idx="2">
                  <c:v>4.137635683234814</c:v>
                </c:pt>
                <c:pt idx="3">
                  <c:v>4.3403534460270929</c:v>
                </c:pt>
                <c:pt idx="4">
                  <c:v>4.5488988573992142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9-4A72-9CE9-717EFA5CDEC3}"/>
            </c:ext>
          </c:extLst>
        </c:ser>
        <c:ser>
          <c:idx val="3"/>
          <c:order val="3"/>
          <c:tx>
            <c:strRef>
              <c:f>消退速率结果!$O$68</c:f>
              <c:strCache>
                <c:ptCount val="1"/>
                <c:pt idx="0">
                  <c:v>10a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消退速率结果!$P$63:$T$63</c:f>
              <c:strCache>
                <c:ptCount val="5"/>
                <c:pt idx="0">
                  <c:v>正常干旱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</c:strCache>
            </c:strRef>
          </c:cat>
          <c:val>
            <c:numRef>
              <c:f>消退速率结果!$P$68:$T$68</c:f>
              <c:numCache>
                <c:formatCode>0.00_ </c:formatCode>
                <c:ptCount val="5"/>
                <c:pt idx="0">
                  <c:v>2.1375832007068261</c:v>
                </c:pt>
                <c:pt idx="1">
                  <c:v>2.8401222383146982</c:v>
                </c:pt>
                <c:pt idx="2">
                  <c:v>4.533948405013648</c:v>
                </c:pt>
                <c:pt idx="3">
                  <c:v>4.7628941380816112</c:v>
                </c:pt>
                <c:pt idx="4">
                  <c:v>5.0043077091498605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99-4A72-9CE9-717EFA5CDEC3}"/>
            </c:ext>
          </c:extLst>
        </c:ser>
        <c:ser>
          <c:idx val="4"/>
          <c:order val="4"/>
          <c:tx>
            <c:strRef>
              <c:f>消退速率结果!$O$69</c:f>
              <c:strCache>
                <c:ptCount val="1"/>
                <c:pt idx="0">
                  <c:v>30a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消退速率结果!$P$63:$T$63</c:f>
              <c:strCache>
                <c:ptCount val="5"/>
                <c:pt idx="0">
                  <c:v>正常干旱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</c:strCache>
            </c:strRef>
          </c:cat>
          <c:val>
            <c:numRef>
              <c:f>消退速率结果!$P$69:$T$69</c:f>
              <c:numCache>
                <c:formatCode>0.00_ </c:formatCode>
                <c:ptCount val="5"/>
                <c:pt idx="0">
                  <c:v>5.0721703630466406</c:v>
                </c:pt>
                <c:pt idx="1">
                  <c:v>5.5170962215502657</c:v>
                </c:pt>
                <c:pt idx="2">
                  <c:v>7.6847758347311945</c:v>
                </c:pt>
                <c:pt idx="3">
                  <c:v>7.9767765592070106</c:v>
                </c:pt>
                <c:pt idx="4">
                  <c:v>8.2682805069373799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99-4A72-9CE9-717EFA5CDEC3}"/>
            </c:ext>
          </c:extLst>
        </c:ser>
        <c:ser>
          <c:idx val="5"/>
          <c:order val="5"/>
          <c:tx>
            <c:strRef>
              <c:f>消退速率结果!$O$70</c:f>
              <c:strCache>
                <c:ptCount val="1"/>
                <c:pt idx="0">
                  <c:v>50a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消退速率结果!$P$63:$T$63</c:f>
              <c:strCache>
                <c:ptCount val="5"/>
                <c:pt idx="0">
                  <c:v>正常干旱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</c:strCache>
            </c:strRef>
          </c:cat>
          <c:val>
            <c:numRef>
              <c:f>消退速率结果!$P$70:$T$70</c:f>
              <c:numCache>
                <c:formatCode>0.00_ </c:formatCode>
                <c:ptCount val="5"/>
                <c:pt idx="0">
                  <c:v>6.2359692640476814</c:v>
                </c:pt>
                <c:pt idx="1">
                  <c:v>6.9207077997874329</c:v>
                </c:pt>
                <c:pt idx="2">
                  <c:v>10.07878316346353</c:v>
                </c:pt>
                <c:pt idx="3">
                  <c:v>10.408023338444053</c:v>
                </c:pt>
                <c:pt idx="4">
                  <c:v>10.782035832329523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99-4A72-9CE9-717EFA5CDEC3}"/>
            </c:ext>
          </c:extLst>
        </c:ser>
        <c:ser>
          <c:idx val="6"/>
          <c:order val="6"/>
          <c:tx>
            <c:strRef>
              <c:f>消退速率结果!$O$71</c:f>
              <c:strCache>
                <c:ptCount val="1"/>
                <c:pt idx="0">
                  <c:v>100a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消退速率结果!$P$63:$T$63</c:f>
              <c:strCache>
                <c:ptCount val="5"/>
                <c:pt idx="0">
                  <c:v>正常干旱</c:v>
                </c:pt>
                <c:pt idx="1">
                  <c:v>轻度干旱</c:v>
                </c:pt>
                <c:pt idx="2">
                  <c:v>中度干旱</c:v>
                </c:pt>
                <c:pt idx="3">
                  <c:v>严重干旱</c:v>
                </c:pt>
                <c:pt idx="4">
                  <c:v>特大干旱</c:v>
                </c:pt>
              </c:strCache>
            </c:strRef>
          </c:cat>
          <c:val>
            <c:numRef>
              <c:f>消退速率结果!$P$71:$T$71</c:f>
              <c:numCache>
                <c:formatCode>0.00_ </c:formatCode>
                <c:ptCount val="5"/>
                <c:pt idx="0">
                  <c:v>7.7899511373925696</c:v>
                </c:pt>
                <c:pt idx="1">
                  <c:v>8.8489353405808409</c:v>
                </c:pt>
                <c:pt idx="2">
                  <c:v>12.839993542615794</c:v>
                </c:pt>
                <c:pt idx="3">
                  <c:v>13.261110623343239</c:v>
                </c:pt>
                <c:pt idx="4">
                  <c:v>13.686940117184788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99-4A72-9CE9-717EFA5CD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033919"/>
        <c:axId val="2119084191"/>
      </c:lineChart>
      <c:catAx>
        <c:axId val="204203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9084191"/>
        <c:crosses val="autoZero"/>
        <c:auto val="1"/>
        <c:lblAlgn val="ctr"/>
        <c:lblOffset val="100"/>
        <c:noMultiLvlLbl val="0"/>
      </c:catAx>
      <c:valAx>
        <c:axId val="21190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203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消退速率结果!$F$25</c:f>
              <c:strCache>
                <c:ptCount val="1"/>
                <c:pt idx="0">
                  <c:v>1a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消退速率结果!$F$26:$F$31</c:f>
              <c:numCache>
                <c:formatCode>0.000_ </c:formatCode>
                <c:ptCount val="6"/>
                <c:pt idx="0">
                  <c:v>3.8641764122220743E-2</c:v>
                </c:pt>
                <c:pt idx="1">
                  <c:v>3.2773147277776513E-2</c:v>
                </c:pt>
                <c:pt idx="2">
                  <c:v>2.3833553355554375E-2</c:v>
                </c:pt>
                <c:pt idx="3">
                  <c:v>2.3157344299998682E-2</c:v>
                </c:pt>
                <c:pt idx="4">
                  <c:v>2.2498343466665325E-2</c:v>
                </c:pt>
                <c:pt idx="5">
                  <c:v>3.1547666119045803E-2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E-496A-91A2-79FDF0FC1E0E}"/>
            </c:ext>
          </c:extLst>
        </c:ser>
        <c:ser>
          <c:idx val="1"/>
          <c:order val="1"/>
          <c:tx>
            <c:strRef>
              <c:f>消退速率结果!$G$25</c:f>
              <c:strCache>
                <c:ptCount val="1"/>
                <c:pt idx="0">
                  <c:v>2a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消退速率结果!$G$26:$G$31</c:f>
              <c:numCache>
                <c:formatCode>0.000_ </c:formatCode>
                <c:ptCount val="6"/>
                <c:pt idx="0">
                  <c:v>6.4569858285712545E-2</c:v>
                </c:pt>
                <c:pt idx="1">
                  <c:v>8.4423029722221279E-2</c:v>
                </c:pt>
                <c:pt idx="2">
                  <c:v>8.3737998588888043E-2</c:v>
                </c:pt>
                <c:pt idx="3">
                  <c:v>8.3412958655554897E-2</c:v>
                </c:pt>
                <c:pt idx="4">
                  <c:v>8.3055029022221838E-2</c:v>
                </c:pt>
                <c:pt idx="5">
                  <c:v>4.924922304166645E-2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CE-496A-91A2-79FDF0FC1E0E}"/>
            </c:ext>
          </c:extLst>
        </c:ser>
        <c:ser>
          <c:idx val="2"/>
          <c:order val="2"/>
          <c:tx>
            <c:strRef>
              <c:f>消退速率结果!$H$25</c:f>
              <c:strCache>
                <c:ptCount val="1"/>
                <c:pt idx="0">
                  <c:v>3a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消退速率结果!$H$26:$H$31</c:f>
              <c:numCache>
                <c:formatCode>0.000_ </c:formatCode>
                <c:ptCount val="6"/>
                <c:pt idx="0">
                  <c:v>6.0978227261902433E-2</c:v>
                </c:pt>
                <c:pt idx="1">
                  <c:v>9.9482017777776557E-2</c:v>
                </c:pt>
                <c:pt idx="2">
                  <c:v>0.10749776115555426</c:v>
                </c:pt>
                <c:pt idx="3">
                  <c:v>0.10782739531111016</c:v>
                </c:pt>
                <c:pt idx="4">
                  <c:v>0.10805691159999914</c:v>
                </c:pt>
                <c:pt idx="5">
                  <c:v>7.6669238714285104E-2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CE-496A-91A2-79FDF0FC1E0E}"/>
            </c:ext>
          </c:extLst>
        </c:ser>
        <c:ser>
          <c:idx val="3"/>
          <c:order val="3"/>
          <c:tx>
            <c:strRef>
              <c:f>消退速率结果!$I$25</c:f>
              <c:strCache>
                <c:ptCount val="1"/>
                <c:pt idx="0">
                  <c:v>5a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消退速率结果!$I$26:$I$31</c:f>
              <c:numCache>
                <c:formatCode>0.000_ </c:formatCode>
                <c:ptCount val="6"/>
                <c:pt idx="0">
                  <c:v>6.0309230666666665E-2</c:v>
                </c:pt>
                <c:pt idx="1">
                  <c:v>0.10336318752222076</c:v>
                </c:pt>
                <c:pt idx="2">
                  <c:v>0.12244811417777698</c:v>
                </c:pt>
                <c:pt idx="3">
                  <c:v>0.12366840343333381</c:v>
                </c:pt>
                <c:pt idx="4">
                  <c:v>0.1248410323555543</c:v>
                </c:pt>
                <c:pt idx="5">
                  <c:v>0.111521619770834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CE-496A-91A2-79FDF0FC1E0E}"/>
            </c:ext>
          </c:extLst>
        </c:ser>
        <c:ser>
          <c:idx val="4"/>
          <c:order val="4"/>
          <c:tx>
            <c:strRef>
              <c:f>消退速率结果!$J$25</c:f>
              <c:strCache>
                <c:ptCount val="1"/>
                <c:pt idx="0">
                  <c:v>10a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消退速率结果!$J$26:$J$31</c:f>
              <c:numCache>
                <c:formatCode>0.000_ </c:formatCode>
                <c:ptCount val="6"/>
                <c:pt idx="0">
                  <c:v>0.12124174995555556</c:v>
                </c:pt>
                <c:pt idx="1">
                  <c:v>0.1258528916809524</c:v>
                </c:pt>
                <c:pt idx="2">
                  <c:v>0.1318936545777778</c:v>
                </c:pt>
                <c:pt idx="3">
                  <c:v>0.13345332372000002</c:v>
                </c:pt>
                <c:pt idx="4">
                  <c:v>0.13508697712000001</c:v>
                </c:pt>
                <c:pt idx="5">
                  <c:v>0.15752900486666654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CE-496A-91A2-79FDF0FC1E0E}"/>
            </c:ext>
          </c:extLst>
        </c:ser>
        <c:ser>
          <c:idx val="5"/>
          <c:order val="5"/>
          <c:tx>
            <c:strRef>
              <c:f>消退速率结果!$K$25</c:f>
              <c:strCache>
                <c:ptCount val="1"/>
                <c:pt idx="0">
                  <c:v>30a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消退速率结果!$K$26:$K$31</c:f>
              <c:numCache>
                <c:formatCode>0.000_ </c:formatCode>
                <c:ptCount val="6"/>
                <c:pt idx="0">
                  <c:v>0.23463937487878778</c:v>
                </c:pt>
                <c:pt idx="1">
                  <c:v>0.21358575429230769</c:v>
                </c:pt>
                <c:pt idx="2">
                  <c:v>0.20698906823809521</c:v>
                </c:pt>
                <c:pt idx="3">
                  <c:v>0.20787830548571426</c:v>
                </c:pt>
                <c:pt idx="4">
                  <c:v>0.20852095819047617</c:v>
                </c:pt>
                <c:pt idx="5">
                  <c:v>0.23157244133333335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CE-496A-91A2-79FDF0FC1E0E}"/>
            </c:ext>
          </c:extLst>
        </c:ser>
        <c:ser>
          <c:idx val="6"/>
          <c:order val="6"/>
          <c:tx>
            <c:strRef>
              <c:f>消退速率结果!$L$25</c:f>
              <c:strCache>
                <c:ptCount val="1"/>
                <c:pt idx="0">
                  <c:v>50a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消退速率结果!$L$26:$L$31</c:f>
              <c:numCache>
                <c:formatCode>0.000_ </c:formatCode>
                <c:ptCount val="6"/>
                <c:pt idx="0">
                  <c:v>0.27961061749696975</c:v>
                </c:pt>
                <c:pt idx="1">
                  <c:v>0.2595865232666667</c:v>
                </c:pt>
                <c:pt idx="2">
                  <c:v>0.26404676964102552</c:v>
                </c:pt>
                <c:pt idx="3">
                  <c:v>0.26417952423076935</c:v>
                </c:pt>
                <c:pt idx="4">
                  <c:v>0.26507628889230767</c:v>
                </c:pt>
                <c:pt idx="5">
                  <c:v>0.27689977727999993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5F-463F-8B71-EB4F49C2F5E4}"/>
            </c:ext>
          </c:extLst>
        </c:ser>
        <c:ser>
          <c:idx val="7"/>
          <c:order val="7"/>
          <c:tx>
            <c:strRef>
              <c:f>消退速率结果!$M$25</c:f>
              <c:strCache>
                <c:ptCount val="1"/>
                <c:pt idx="0">
                  <c:v>100a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消退速率结果!$M$26:$M$31</c:f>
              <c:numCache>
                <c:formatCode>0.000_ </c:formatCode>
                <c:ptCount val="6"/>
                <c:pt idx="0">
                  <c:v>0.33965921849696962</c:v>
                </c:pt>
                <c:pt idx="1">
                  <c:v>0.32278060844615386</c:v>
                </c:pt>
                <c:pt idx="2">
                  <c:v>0.32985622453846153</c:v>
                </c:pt>
                <c:pt idx="3">
                  <c:v>0.33024944880512819</c:v>
                </c:pt>
                <c:pt idx="4">
                  <c:v>0.33043182323076925</c:v>
                </c:pt>
                <c:pt idx="5">
                  <c:v>0.34016335656666663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5F-463F-8B71-EB4F49C2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680031"/>
        <c:axId val="1008676191"/>
      </c:barChart>
      <c:catAx>
        <c:axId val="100868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8676191"/>
        <c:crosses val="autoZero"/>
        <c:auto val="1"/>
        <c:lblAlgn val="ctr"/>
        <c:lblOffset val="100"/>
        <c:noMultiLvlLbl val="0"/>
      </c:catAx>
      <c:valAx>
        <c:axId val="100867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868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177944</xdr:colOff>
      <xdr:row>34</xdr:row>
      <xdr:rowOff>152400</xdr:rowOff>
    </xdr:from>
    <xdr:to>
      <xdr:col>21</xdr:col>
      <xdr:colOff>207818</xdr:colOff>
      <xdr:row>48</xdr:row>
      <xdr:rowOff>51954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1A7F6E2-371C-B807-79F3-65C657AE5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589250</xdr:colOff>
      <xdr:row>34</xdr:row>
      <xdr:rowOff>104775</xdr:rowOff>
    </xdr:from>
    <xdr:to>
      <xdr:col>28</xdr:col>
      <xdr:colOff>360650</xdr:colOff>
      <xdr:row>48</xdr:row>
      <xdr:rowOff>118629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C5EDF52-E9EB-4110-3398-C46D38235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283709</xdr:colOff>
      <xdr:row>1</xdr:row>
      <xdr:rowOff>57150</xdr:rowOff>
    </xdr:from>
    <xdr:to>
      <xdr:col>13</xdr:col>
      <xdr:colOff>234043</xdr:colOff>
      <xdr:row>12</xdr:row>
      <xdr:rowOff>95250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8BB7A8B-90F8-40E2-1252-3377625F4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252411</xdr:colOff>
      <xdr:row>1</xdr:row>
      <xdr:rowOff>66675</xdr:rowOff>
    </xdr:from>
    <xdr:to>
      <xdr:col>20</xdr:col>
      <xdr:colOff>314324</xdr:colOff>
      <xdr:row>12</xdr:row>
      <xdr:rowOff>95250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B825E28-B470-A83C-8725-9C9D4CDEE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262245</xdr:colOff>
      <xdr:row>15</xdr:row>
      <xdr:rowOff>55047</xdr:rowOff>
    </xdr:from>
    <xdr:to>
      <xdr:col>21</xdr:col>
      <xdr:colOff>665511</xdr:colOff>
      <xdr:row>29</xdr:row>
      <xdr:rowOff>127165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AF56EEB-CC22-6C16-0F41-09D64881C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181840</xdr:colOff>
      <xdr:row>15</xdr:row>
      <xdr:rowOff>65808</xdr:rowOff>
    </xdr:from>
    <xdr:to>
      <xdr:col>28</xdr:col>
      <xdr:colOff>597476</xdr:colOff>
      <xdr:row>29</xdr:row>
      <xdr:rowOff>142008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71898ED-43CC-C0DE-FC48-49F6F43EE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51</xdr:col>
      <xdr:colOff>299357</xdr:colOff>
      <xdr:row>28</xdr:row>
      <xdr:rowOff>16329</xdr:rowOff>
    </xdr:from>
    <xdr:to>
      <xdr:col>58</xdr:col>
      <xdr:colOff>108857</xdr:colOff>
      <xdr:row>42</xdr:row>
      <xdr:rowOff>92529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D5F62E1-B14F-AD61-BC9C-DEF97876F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58</xdr:col>
      <xdr:colOff>381000</xdr:colOff>
      <xdr:row>28</xdr:row>
      <xdr:rowOff>16329</xdr:rowOff>
    </xdr:from>
    <xdr:to>
      <xdr:col>65</xdr:col>
      <xdr:colOff>190500</xdr:colOff>
      <xdr:row>42</xdr:row>
      <xdr:rowOff>92529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E0DAD1E3-5992-C6C7-677D-A3905B9AE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571501</xdr:colOff>
      <xdr:row>11</xdr:row>
      <xdr:rowOff>125186</xdr:rowOff>
    </xdr:from>
    <xdr:to>
      <xdr:col>58</xdr:col>
      <xdr:colOff>381001</xdr:colOff>
      <xdr:row>26</xdr:row>
      <xdr:rowOff>51707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4EF03AA8-4019-F495-5ED4-AA64AAE7C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612321</xdr:colOff>
      <xdr:row>11</xdr:row>
      <xdr:rowOff>138794</xdr:rowOff>
    </xdr:from>
    <xdr:to>
      <xdr:col>65</xdr:col>
      <xdr:colOff>421821</xdr:colOff>
      <xdr:row>26</xdr:row>
      <xdr:rowOff>65315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AE0100C9-6B87-6043-2D46-44E508F71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184897</xdr:colOff>
      <xdr:row>48</xdr:row>
      <xdr:rowOff>180414</xdr:rowOff>
    </xdr:from>
    <xdr:to>
      <xdr:col>21</xdr:col>
      <xdr:colOff>123265</xdr:colOff>
      <xdr:row>61</xdr:row>
      <xdr:rowOff>112059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CA68310-4001-7D0F-5517-90A9D8AFF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577102</xdr:colOff>
      <xdr:row>49</xdr:row>
      <xdr:rowOff>45943</xdr:rowOff>
    </xdr:from>
    <xdr:to>
      <xdr:col>28</xdr:col>
      <xdr:colOff>156882</xdr:colOff>
      <xdr:row>62</xdr:row>
      <xdr:rowOff>22412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3A65E7F0-C6D2-0FE1-3D4E-2E1ABBF9F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442631</xdr:colOff>
      <xdr:row>62</xdr:row>
      <xdr:rowOff>146797</xdr:rowOff>
    </xdr:from>
    <xdr:to>
      <xdr:col>21</xdr:col>
      <xdr:colOff>229720</xdr:colOff>
      <xdr:row>78</xdr:row>
      <xdr:rowOff>21291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431E501B-9216-FC11-3F22-CE9FD2876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316395</xdr:colOff>
      <xdr:row>0</xdr:row>
      <xdr:rowOff>0</xdr:rowOff>
    </xdr:from>
    <xdr:to>
      <xdr:col>27</xdr:col>
      <xdr:colOff>76200</xdr:colOff>
      <xdr:row>14</xdr:row>
      <xdr:rowOff>72473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84F5ECB8-E60C-8F2E-93CB-5C3808612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315115</xdr:colOff>
      <xdr:row>47</xdr:row>
      <xdr:rowOff>62799</xdr:rowOff>
    </xdr:from>
    <xdr:to>
      <xdr:col>33</xdr:col>
      <xdr:colOff>369094</xdr:colOff>
      <xdr:row>60</xdr:row>
      <xdr:rowOff>5954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B49E6641-8A2F-9498-792B-3BD6CE10E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185737</xdr:colOff>
      <xdr:row>28</xdr:row>
      <xdr:rowOff>161925</xdr:rowOff>
    </xdr:from>
    <xdr:to>
      <xdr:col>26</xdr:col>
      <xdr:colOff>642937</xdr:colOff>
      <xdr:row>43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6CACE2C-DDFE-D4CB-C6F3-67E43A0C9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308162</xdr:colOff>
      <xdr:row>58</xdr:row>
      <xdr:rowOff>100853</xdr:rowOff>
    </xdr:from>
    <xdr:to>
      <xdr:col>30</xdr:col>
      <xdr:colOff>257736</xdr:colOff>
      <xdr:row>81</xdr:row>
      <xdr:rowOff>32497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D027658-8B6A-6312-3ED2-3269B71FC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14287</xdr:colOff>
      <xdr:row>33</xdr:row>
      <xdr:rowOff>142875</xdr:rowOff>
    </xdr:from>
    <xdr:to>
      <xdr:col>12</xdr:col>
      <xdr:colOff>471487</xdr:colOff>
      <xdr:row>48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A064F99-EEB8-F561-DE29-487B7684A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4924-06E4-486C-90E9-7E31138BCF68}">
  <dimension ref="B2:AZ57"/>
  <sheetViews>
    <sheetView topLeftCell="A11" zoomScale="55" zoomScaleNormal="55" workbookViewId="0">
      <selection activeCell="AF42" sqref="AF42"/>
    </sheetView>
  </sheetViews>
  <sheetFormatPr defaultRowHeight="14.25" x14ac:dyDescent="0.2"/>
  <sheetData>
    <row r="2" spans="2:52" ht="18" x14ac:dyDescent="0.2">
      <c r="B2" s="2" t="s">
        <v>14</v>
      </c>
    </row>
    <row r="3" spans="2:52" x14ac:dyDescent="0.2">
      <c r="B3" t="s">
        <v>15</v>
      </c>
    </row>
    <row r="4" spans="2:52" ht="15" x14ac:dyDescent="0.25">
      <c r="B4" s="1" t="s">
        <v>16</v>
      </c>
      <c r="C4" s="25" t="s">
        <v>78</v>
      </c>
      <c r="D4" s="25" t="s">
        <v>79</v>
      </c>
      <c r="E4" s="25" t="s">
        <v>80</v>
      </c>
      <c r="F4" s="25" t="s">
        <v>81</v>
      </c>
      <c r="G4" s="25" t="s">
        <v>82</v>
      </c>
      <c r="H4" s="25" t="s">
        <v>83</v>
      </c>
    </row>
    <row r="5" spans="2:52" ht="15" x14ac:dyDescent="0.25">
      <c r="B5" s="1" t="s">
        <v>0</v>
      </c>
      <c r="C5" s="4">
        <v>14.47560552749972</v>
      </c>
      <c r="D5" s="4">
        <v>8.1865679349997436</v>
      </c>
      <c r="E5" s="4">
        <v>5.7319490899997643</v>
      </c>
      <c r="F5" s="4">
        <v>5.5629542499997395</v>
      </c>
      <c r="G5" s="4">
        <v>5.3991282224997335</v>
      </c>
      <c r="H5" s="4">
        <v>20.795259569999438</v>
      </c>
    </row>
    <row r="6" spans="2:52" ht="15" x14ac:dyDescent="0.25">
      <c r="B6" s="1" t="s">
        <v>1</v>
      </c>
      <c r="C6" s="4">
        <v>37.019222509999466</v>
      </c>
      <c r="D6" s="4">
        <v>27.392013157499832</v>
      </c>
      <c r="E6" s="4">
        <v>23.799736039999829</v>
      </c>
      <c r="F6" s="4">
        <v>23.50857257749983</v>
      </c>
      <c r="G6" s="4">
        <v>23.21937473749988</v>
      </c>
      <c r="H6" s="4">
        <v>49.991723014999721</v>
      </c>
    </row>
    <row r="7" spans="2:52" ht="15" x14ac:dyDescent="0.25">
      <c r="B7" s="1" t="s">
        <v>2</v>
      </c>
      <c r="C7" s="4">
        <v>51.084844232499584</v>
      </c>
      <c r="D7" s="4">
        <v>39.055018199999687</v>
      </c>
      <c r="E7" s="4">
        <v>35.094782702499749</v>
      </c>
      <c r="F7" s="4">
        <v>34.776108924999726</v>
      </c>
      <c r="G7" s="4">
        <v>34.458830797499736</v>
      </c>
      <c r="H7" s="4">
        <v>68.920724052499637</v>
      </c>
    </row>
    <row r="8" spans="2:52" ht="15" x14ac:dyDescent="0.25">
      <c r="B8" s="1" t="s">
        <v>3</v>
      </c>
      <c r="C8" s="4">
        <v>69.043436100000008</v>
      </c>
      <c r="D8" s="4">
        <v>53.95659335999958</v>
      </c>
      <c r="E8" s="4">
        <v>49.495802347499733</v>
      </c>
      <c r="F8" s="4">
        <v>49.142637682499817</v>
      </c>
      <c r="G8" s="4">
        <v>48.792402272499707</v>
      </c>
      <c r="H8" s="4">
        <v>90.843124179999649</v>
      </c>
    </row>
    <row r="9" spans="2:52" ht="15" x14ac:dyDescent="0.25">
      <c r="B9" s="1" t="s">
        <v>4</v>
      </c>
      <c r="C9" s="5">
        <v>97.464348482000005</v>
      </c>
      <c r="D9" s="5">
        <v>75.630217235000003</v>
      </c>
      <c r="E9" s="5">
        <v>69.279476145000004</v>
      </c>
      <c r="F9" s="5">
        <v>68.870007287000007</v>
      </c>
      <c r="G9" s="5">
        <v>68.463155262000001</v>
      </c>
      <c r="H9" s="5">
        <v>121.52771331199999</v>
      </c>
    </row>
    <row r="10" spans="2:52" ht="15" x14ac:dyDescent="0.25">
      <c r="B10" s="1" t="s">
        <v>5</v>
      </c>
      <c r="C10" s="5">
        <v>148.28103121799998</v>
      </c>
      <c r="D10" s="5">
        <v>116.486103297</v>
      </c>
      <c r="E10" s="5">
        <v>106.153180245</v>
      </c>
      <c r="F10" s="5">
        <v>105.42676770999999</v>
      </c>
      <c r="G10" s="5">
        <v>104.660834073</v>
      </c>
      <c r="H10" s="5">
        <v>174.579399825</v>
      </c>
    </row>
    <row r="11" spans="2:52" ht="15" x14ac:dyDescent="0.25">
      <c r="B11" s="1" t="s">
        <v>6</v>
      </c>
      <c r="C11" s="5">
        <v>173.029197385</v>
      </c>
      <c r="D11" s="5">
        <v>138.50483764000001</v>
      </c>
      <c r="E11" s="5">
        <v>125.65487930999998</v>
      </c>
      <c r="F11" s="5">
        <v>124.65582995500002</v>
      </c>
      <c r="G11" s="5">
        <v>123.76019579199999</v>
      </c>
      <c r="H11" s="5">
        <v>199.903874922</v>
      </c>
    </row>
    <row r="12" spans="2:52" ht="15" x14ac:dyDescent="0.25">
      <c r="B12" s="1" t="s">
        <v>7</v>
      </c>
      <c r="C12" s="5">
        <v>207.11911528499999</v>
      </c>
      <c r="D12" s="5">
        <v>169.267337277</v>
      </c>
      <c r="E12" s="5">
        <v>155.07460802</v>
      </c>
      <c r="F12" s="5">
        <v>153.960607095</v>
      </c>
      <c r="G12" s="5">
        <v>152.76367589500001</v>
      </c>
      <c r="H12" s="5">
        <v>234.88553497999999</v>
      </c>
    </row>
    <row r="16" spans="2:52" ht="15" x14ac:dyDescent="0.25">
      <c r="B16" s="6" t="s">
        <v>21</v>
      </c>
      <c r="C16" s="7"/>
      <c r="D16" s="7"/>
      <c r="E16" s="7"/>
      <c r="F16" s="7"/>
      <c r="G16" s="8"/>
      <c r="H16" s="8"/>
      <c r="I16" s="9"/>
      <c r="J16" s="6" t="s">
        <v>21</v>
      </c>
      <c r="K16" s="7"/>
      <c r="L16" s="7"/>
      <c r="M16" s="7"/>
      <c r="N16" s="7"/>
      <c r="O16" s="5"/>
      <c r="AE16" s="13" t="s">
        <v>39</v>
      </c>
      <c r="AF16" s="14"/>
      <c r="AG16" s="14"/>
      <c r="AH16" s="15"/>
      <c r="AI16" s="15"/>
      <c r="AJ16" s="15"/>
      <c r="AK16" s="15"/>
      <c r="AL16" s="15"/>
      <c r="AM16" s="15"/>
      <c r="AN16" s="15"/>
      <c r="AO16" s="15"/>
      <c r="AP16" s="5"/>
      <c r="AQ16" s="5"/>
      <c r="AR16" s="9"/>
      <c r="AS16" s="13" t="s">
        <v>39</v>
      </c>
      <c r="AT16" s="14"/>
      <c r="AU16" s="14"/>
      <c r="AV16" s="15"/>
      <c r="AW16" s="15"/>
      <c r="AX16" s="15"/>
      <c r="AY16" s="15"/>
      <c r="AZ16" s="9"/>
    </row>
    <row r="17" spans="2:52" ht="15" x14ac:dyDescent="0.25">
      <c r="B17" s="9"/>
      <c r="C17" s="8"/>
      <c r="D17" s="8"/>
      <c r="E17" s="8"/>
      <c r="F17" s="8"/>
      <c r="G17" s="8"/>
      <c r="H17" s="8"/>
      <c r="I17" s="9"/>
      <c r="J17" s="9"/>
      <c r="K17" s="10" t="s">
        <v>84</v>
      </c>
      <c r="L17" s="10" t="s">
        <v>85</v>
      </c>
      <c r="M17" s="10" t="s">
        <v>86</v>
      </c>
      <c r="N17" s="10" t="s">
        <v>87</v>
      </c>
      <c r="O17" s="10" t="s">
        <v>88</v>
      </c>
      <c r="AE17" s="9"/>
      <c r="AF17" s="1"/>
      <c r="AG17" s="1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9"/>
      <c r="AS17" s="9"/>
      <c r="AT17" s="16" t="s">
        <v>8</v>
      </c>
      <c r="AU17" s="1" t="s">
        <v>9</v>
      </c>
      <c r="AV17" s="1" t="s">
        <v>10</v>
      </c>
      <c r="AW17" s="1" t="s">
        <v>11</v>
      </c>
      <c r="AX17" s="1" t="s">
        <v>12</v>
      </c>
      <c r="AY17" s="1" t="s">
        <v>13</v>
      </c>
      <c r="AZ17" s="9"/>
    </row>
    <row r="18" spans="2:52" ht="15" x14ac:dyDescent="0.25">
      <c r="B18" s="1" t="s">
        <v>27</v>
      </c>
      <c r="C18" s="1" t="s">
        <v>28</v>
      </c>
      <c r="D18" s="10" t="s">
        <v>22</v>
      </c>
      <c r="E18" s="10" t="s">
        <v>23</v>
      </c>
      <c r="F18" s="10" t="s">
        <v>24</v>
      </c>
      <c r="G18" s="10" t="s">
        <v>25</v>
      </c>
      <c r="H18" s="10" t="s">
        <v>26</v>
      </c>
      <c r="I18" s="9"/>
      <c r="J18" s="1" t="s">
        <v>0</v>
      </c>
      <c r="K18" s="11">
        <v>0.43445765225865768</v>
      </c>
      <c r="L18" s="11">
        <v>0.29983490816778474</v>
      </c>
      <c r="M18" s="11">
        <v>2.9482962487378212E-2</v>
      </c>
      <c r="N18" s="11">
        <v>2.9449465183003034E-2</v>
      </c>
      <c r="O18" s="12">
        <v>2.8515957971399084</v>
      </c>
      <c r="AE18" s="1" t="s">
        <v>27</v>
      </c>
      <c r="AF18" s="16" t="s">
        <v>8</v>
      </c>
      <c r="AG18" s="1"/>
      <c r="AH18" s="1" t="s">
        <v>9</v>
      </c>
      <c r="AI18" s="1"/>
      <c r="AJ18" s="1" t="s">
        <v>10</v>
      </c>
      <c r="AK18" s="1"/>
      <c r="AL18" s="1" t="s">
        <v>11</v>
      </c>
      <c r="AM18" s="1"/>
      <c r="AN18" s="1" t="s">
        <v>12</v>
      </c>
      <c r="AO18" s="1"/>
      <c r="AP18" s="1" t="s">
        <v>13</v>
      </c>
      <c r="AQ18" s="5"/>
      <c r="AR18" s="9"/>
      <c r="AS18" s="1" t="s">
        <v>40</v>
      </c>
      <c r="AT18" s="17">
        <v>1.5573522599571392</v>
      </c>
      <c r="AU18" s="17">
        <v>2.3459702985413129</v>
      </c>
      <c r="AV18" s="17">
        <v>3.1521192296564529</v>
      </c>
      <c r="AW18" s="17">
        <v>3.2259151380763078</v>
      </c>
      <c r="AX18" s="17">
        <v>3.300578497235537</v>
      </c>
      <c r="AY18" s="17">
        <v>1.4039961053008907</v>
      </c>
      <c r="AZ18" s="9"/>
    </row>
    <row r="19" spans="2:52" ht="15" x14ac:dyDescent="0.25">
      <c r="B19" s="1" t="s">
        <v>17</v>
      </c>
      <c r="C19" s="4">
        <v>14.47560552749972</v>
      </c>
      <c r="D19" s="4">
        <v>8.1865679349997436</v>
      </c>
      <c r="E19" s="4">
        <v>5.7319490899997643</v>
      </c>
      <c r="F19" s="4">
        <v>5.5629542499997395</v>
      </c>
      <c r="G19" s="4">
        <v>5.3991282224997335</v>
      </c>
      <c r="H19" s="4">
        <v>20.795259569999438</v>
      </c>
      <c r="I19" s="9"/>
      <c r="J19" s="1" t="s">
        <v>1</v>
      </c>
      <c r="K19" s="11">
        <v>0.26005973923139997</v>
      </c>
      <c r="L19" s="11">
        <v>0.13114323130778913</v>
      </c>
      <c r="M19" s="11">
        <v>1.2233894611715217E-2</v>
      </c>
      <c r="N19" s="11">
        <v>1.2301803482391903E-2</v>
      </c>
      <c r="O19" s="12">
        <v>1.1530176234359066</v>
      </c>
      <c r="AE19" s="1" t="s">
        <v>17</v>
      </c>
      <c r="AF19" s="4">
        <v>14.47560552749972</v>
      </c>
      <c r="AG19" s="17"/>
      <c r="AH19" s="4">
        <v>8.1865679349997436</v>
      </c>
      <c r="AI19" s="1"/>
      <c r="AJ19" s="4">
        <v>5.7319490899997643</v>
      </c>
      <c r="AK19" s="1"/>
      <c r="AL19" s="4">
        <v>5.5629542499997395</v>
      </c>
      <c r="AM19" s="1"/>
      <c r="AN19" s="4">
        <v>5.3991282224997335</v>
      </c>
      <c r="AO19" s="1"/>
      <c r="AP19" s="4">
        <v>20.795259569999438</v>
      </c>
      <c r="AQ19" s="5"/>
      <c r="AR19" s="9"/>
      <c r="AS19" s="1" t="s">
        <v>41</v>
      </c>
      <c r="AT19" s="17">
        <v>0.37995454168981468</v>
      </c>
      <c r="AU19" s="17">
        <v>0.42578122956642078</v>
      </c>
      <c r="AV19" s="17">
        <v>0.47458705607140012</v>
      </c>
      <c r="AW19" s="17">
        <v>0.47929478960726479</v>
      </c>
      <c r="AX19" s="17">
        <v>0.48405506983130986</v>
      </c>
      <c r="AY19" s="17">
        <v>0.37864270114915582</v>
      </c>
      <c r="AZ19" s="9"/>
    </row>
    <row r="20" spans="2:52" ht="15" x14ac:dyDescent="0.25">
      <c r="B20" s="1"/>
      <c r="C20" s="1"/>
      <c r="D20" s="12">
        <f>(D19-C19)/C19</f>
        <v>-0.43445765225865768</v>
      </c>
      <c r="E20" s="12">
        <f>(E19-D19)/D19</f>
        <v>-0.29983490816778474</v>
      </c>
      <c r="F20" s="12">
        <f>(F19-E19)/E19</f>
        <v>-2.9482962487378212E-2</v>
      </c>
      <c r="G20" s="12">
        <f>(G19-F19)/F19</f>
        <v>-2.9449465183003034E-2</v>
      </c>
      <c r="H20" s="12">
        <f>(H19-G19)/G19</f>
        <v>2.8515957971399084</v>
      </c>
      <c r="I20" s="9"/>
      <c r="J20" s="1" t="s">
        <v>2</v>
      </c>
      <c r="K20" s="11">
        <v>0.23548718241655442</v>
      </c>
      <c r="L20" s="11">
        <v>0.10140145056954471</v>
      </c>
      <c r="M20" s="11">
        <v>9.080374715564922E-3</v>
      </c>
      <c r="N20" s="11">
        <v>9.1234510503820452E-3</v>
      </c>
      <c r="O20" s="12">
        <v>1.0000888729370465</v>
      </c>
      <c r="AE20" s="1" t="s">
        <v>18</v>
      </c>
      <c r="AF20" s="4">
        <v>37.019222509999466</v>
      </c>
      <c r="AG20" s="17">
        <f>(AF20-AF19)/AF19</f>
        <v>1.5573522599571392</v>
      </c>
      <c r="AH20" s="4">
        <v>27.392013157499832</v>
      </c>
      <c r="AI20" s="17">
        <f t="shared" ref="AI20:AI26" si="0">(AH20-AH19)/AH19</f>
        <v>2.3459702985413129</v>
      </c>
      <c r="AJ20" s="4">
        <v>23.799736039999829</v>
      </c>
      <c r="AK20" s="17">
        <f t="shared" ref="AK20:AK26" si="1">(AJ20-AJ19)/AJ19</f>
        <v>3.1521192296564529</v>
      </c>
      <c r="AL20" s="4">
        <v>23.50857257749983</v>
      </c>
      <c r="AM20" s="17">
        <f t="shared" ref="AM20:AM26" si="2">(AL20-AL19)/AL19</f>
        <v>3.2259151380763078</v>
      </c>
      <c r="AN20" s="4">
        <v>23.21937473749988</v>
      </c>
      <c r="AO20" s="17">
        <f t="shared" ref="AO20:AO26" si="3">(AN20-AN19)/AN19</f>
        <v>3.300578497235537</v>
      </c>
      <c r="AP20" s="4">
        <v>49.991723014999721</v>
      </c>
      <c r="AQ20" s="17">
        <f t="shared" ref="AQ20:AQ26" si="4">(AP20-AP19)/AP19</f>
        <v>1.4039961053008907</v>
      </c>
      <c r="AR20" s="9"/>
      <c r="AS20" s="1" t="s">
        <v>42</v>
      </c>
      <c r="AT20" s="17">
        <v>0.35154441864922781</v>
      </c>
      <c r="AU20" s="17">
        <v>0.38155340457631676</v>
      </c>
      <c r="AV20" s="17">
        <v>0.41034645426011485</v>
      </c>
      <c r="AW20" s="17">
        <v>0.41311489990107353</v>
      </c>
      <c r="AX20" s="17">
        <v>0.41596221181247933</v>
      </c>
      <c r="AY20" s="17">
        <v>0.31808139610954833</v>
      </c>
      <c r="AZ20" s="9"/>
    </row>
    <row r="21" spans="2:52" ht="15" x14ac:dyDescent="0.25">
      <c r="B21" s="1" t="s">
        <v>18</v>
      </c>
      <c r="C21" s="4">
        <v>37.019222509999466</v>
      </c>
      <c r="D21" s="4">
        <v>27.392013157499832</v>
      </c>
      <c r="E21" s="4">
        <v>23.799736039999829</v>
      </c>
      <c r="F21" s="4">
        <v>23.50857257749983</v>
      </c>
      <c r="G21" s="4">
        <v>23.21937473749988</v>
      </c>
      <c r="H21" s="4">
        <v>49.991723014999721</v>
      </c>
      <c r="I21" s="9"/>
      <c r="J21" s="1" t="s">
        <v>3</v>
      </c>
      <c r="K21" s="11">
        <v>0.21851233936487738</v>
      </c>
      <c r="L21" s="11">
        <v>8.2673696293932994E-2</v>
      </c>
      <c r="M21" s="11">
        <v>7.1352447732924984E-3</v>
      </c>
      <c r="N21" s="11">
        <v>7.1269151701401703E-3</v>
      </c>
      <c r="O21" s="12">
        <v>0.86182930023924031</v>
      </c>
      <c r="AE21" s="1" t="s">
        <v>19</v>
      </c>
      <c r="AF21" s="4">
        <v>51.084844232499584</v>
      </c>
      <c r="AG21" s="17">
        <f t="shared" ref="AG21:AG26" si="5">(AF21-AF20)/AF20</f>
        <v>0.37995454168981468</v>
      </c>
      <c r="AH21" s="4">
        <v>39.055018199999687</v>
      </c>
      <c r="AI21" s="17">
        <f t="shared" si="0"/>
        <v>0.42578122956642078</v>
      </c>
      <c r="AJ21" s="4">
        <v>35.094782702499749</v>
      </c>
      <c r="AK21" s="17">
        <f t="shared" si="1"/>
        <v>0.47458705607140012</v>
      </c>
      <c r="AL21" s="4">
        <v>34.776108924999726</v>
      </c>
      <c r="AM21" s="17">
        <f t="shared" si="2"/>
        <v>0.47929478960726479</v>
      </c>
      <c r="AN21" s="4">
        <v>34.458830797499736</v>
      </c>
      <c r="AO21" s="17">
        <f t="shared" si="3"/>
        <v>0.48405506983130986</v>
      </c>
      <c r="AP21" s="4">
        <v>68.920724052499637</v>
      </c>
      <c r="AQ21" s="17">
        <f t="shared" si="4"/>
        <v>0.37864270114915582</v>
      </c>
      <c r="AR21" s="9"/>
      <c r="AS21" s="1" t="s">
        <v>43</v>
      </c>
      <c r="AT21" s="17">
        <v>0.41163815110296914</v>
      </c>
      <c r="AU21" s="17">
        <v>0.40168629124514083</v>
      </c>
      <c r="AV21" s="17">
        <v>0.3997040730566041</v>
      </c>
      <c r="AW21" s="17">
        <v>0.40143082534467422</v>
      </c>
      <c r="AX21" s="17">
        <v>0.40315196779288504</v>
      </c>
      <c r="AY21" s="17">
        <v>0.33777558190536089</v>
      </c>
      <c r="AZ21" s="9"/>
    </row>
    <row r="22" spans="2:52" ht="15" x14ac:dyDescent="0.25">
      <c r="B22" s="1"/>
      <c r="C22" s="1"/>
      <c r="D22" s="12">
        <f>(D21-C21)/C21</f>
        <v>-0.26005973923139997</v>
      </c>
      <c r="E22" s="12">
        <f>(E21-D21)/D21</f>
        <v>-0.13114323130778913</v>
      </c>
      <c r="F22" s="12">
        <f>(F21-E21)/E21</f>
        <v>-1.2233894611715217E-2</v>
      </c>
      <c r="G22" s="12">
        <f>(G21-F21)/F21</f>
        <v>-1.2301803482391903E-2</v>
      </c>
      <c r="H22" s="12">
        <f>(H21-G21)/G21</f>
        <v>1.1530176234359066</v>
      </c>
      <c r="I22" s="9"/>
      <c r="J22" s="1" t="s">
        <v>4</v>
      </c>
      <c r="K22" s="11">
        <v>0.22402172268183163</v>
      </c>
      <c r="L22" s="11">
        <v>8.397094867871166E-2</v>
      </c>
      <c r="M22" s="11">
        <v>5.9103919484464621E-3</v>
      </c>
      <c r="N22" s="11">
        <v>5.9075356752111771E-3</v>
      </c>
      <c r="O22" s="12">
        <v>0.77508198164295095</v>
      </c>
      <c r="AE22" s="1" t="s">
        <v>20</v>
      </c>
      <c r="AF22" s="4">
        <v>69.043436100000008</v>
      </c>
      <c r="AG22" s="17">
        <f t="shared" si="5"/>
        <v>0.35154441864922781</v>
      </c>
      <c r="AH22" s="4">
        <v>53.95659335999958</v>
      </c>
      <c r="AI22" s="17">
        <f t="shared" si="0"/>
        <v>0.38155340457631676</v>
      </c>
      <c r="AJ22" s="4">
        <v>49.495802347499733</v>
      </c>
      <c r="AK22" s="17">
        <f t="shared" si="1"/>
        <v>0.41034645426011485</v>
      </c>
      <c r="AL22" s="4">
        <v>49.142637682499817</v>
      </c>
      <c r="AM22" s="17">
        <f t="shared" si="2"/>
        <v>0.41311489990107353</v>
      </c>
      <c r="AN22" s="4">
        <v>48.792402272499707</v>
      </c>
      <c r="AO22" s="17">
        <f t="shared" si="3"/>
        <v>0.41596221181247933</v>
      </c>
      <c r="AP22" s="4">
        <v>90.843124179999649</v>
      </c>
      <c r="AQ22" s="17">
        <f t="shared" si="4"/>
        <v>0.31808139610954833</v>
      </c>
      <c r="AR22" s="9"/>
      <c r="AS22" s="1" t="s">
        <v>44</v>
      </c>
      <c r="AT22" s="17">
        <v>0.52138739474962936</v>
      </c>
      <c r="AU22" s="17">
        <v>0.54020585363455476</v>
      </c>
      <c r="AV22" s="17">
        <v>0.53224571188766445</v>
      </c>
      <c r="AW22" s="17">
        <v>0.53080813932047444</v>
      </c>
      <c r="AX22" s="17">
        <v>0.52871765364123191</v>
      </c>
      <c r="AY22" s="17">
        <v>0.43653982344586362</v>
      </c>
      <c r="AZ22" s="9"/>
    </row>
    <row r="23" spans="2:52" ht="15" x14ac:dyDescent="0.25">
      <c r="B23" s="1" t="s">
        <v>19</v>
      </c>
      <c r="C23" s="4">
        <v>51.084844232499584</v>
      </c>
      <c r="D23" s="4">
        <v>39.055018199999687</v>
      </c>
      <c r="E23" s="4">
        <v>35.094782702499749</v>
      </c>
      <c r="F23" s="4">
        <v>34.776108924999726</v>
      </c>
      <c r="G23" s="4">
        <v>34.458830797499736</v>
      </c>
      <c r="H23" s="4">
        <v>68.920724052499637</v>
      </c>
      <c r="I23" s="9"/>
      <c r="J23" s="1" t="s">
        <v>5</v>
      </c>
      <c r="K23" s="11">
        <v>0.21442343406862122</v>
      </c>
      <c r="L23" s="11">
        <v>8.8705199672226606E-2</v>
      </c>
      <c r="M23" s="11">
        <v>6.8430595609425826E-3</v>
      </c>
      <c r="N23" s="11">
        <v>7.2650774906318069E-3</v>
      </c>
      <c r="O23" s="12">
        <v>0.66804900200998218</v>
      </c>
      <c r="AE23" s="1" t="s">
        <v>29</v>
      </c>
      <c r="AF23" s="5">
        <v>97.464348482000005</v>
      </c>
      <c r="AG23" s="17">
        <f t="shared" si="5"/>
        <v>0.41163815110296914</v>
      </c>
      <c r="AH23" s="5">
        <v>75.630217235000003</v>
      </c>
      <c r="AI23" s="17">
        <f t="shared" si="0"/>
        <v>0.40168629124514083</v>
      </c>
      <c r="AJ23" s="5">
        <v>69.279476145000004</v>
      </c>
      <c r="AK23" s="17">
        <f t="shared" si="1"/>
        <v>0.3997040730566041</v>
      </c>
      <c r="AL23" s="5">
        <v>68.870007287000007</v>
      </c>
      <c r="AM23" s="17">
        <f t="shared" si="2"/>
        <v>0.40143082534467422</v>
      </c>
      <c r="AN23" s="5">
        <v>68.463155262000001</v>
      </c>
      <c r="AO23" s="17">
        <f t="shared" si="3"/>
        <v>0.40315196779288504</v>
      </c>
      <c r="AP23" s="5">
        <v>121.52771331199999</v>
      </c>
      <c r="AQ23" s="17">
        <f t="shared" si="4"/>
        <v>0.33777558190536089</v>
      </c>
      <c r="AR23" s="9"/>
      <c r="AS23" s="1" t="s">
        <v>45</v>
      </c>
      <c r="AT23" s="17">
        <v>0.16690041850744708</v>
      </c>
      <c r="AU23" s="17">
        <v>0.18902455932326717</v>
      </c>
      <c r="AV23" s="17">
        <v>0.18371281029913888</v>
      </c>
      <c r="AW23" s="17">
        <v>0.1823925997417836</v>
      </c>
      <c r="AX23" s="17">
        <v>0.18248814743515565</v>
      </c>
      <c r="AY23" s="17">
        <v>0.14505992758816613</v>
      </c>
      <c r="AZ23" s="9"/>
    </row>
    <row r="24" spans="2:52" ht="15" x14ac:dyDescent="0.25">
      <c r="B24" s="1"/>
      <c r="C24" s="1"/>
      <c r="D24" s="12">
        <f>(D23-C23)/C23</f>
        <v>-0.23548718241655442</v>
      </c>
      <c r="E24" s="12">
        <f>(E23-D23)/D23</f>
        <v>-0.10140145056954471</v>
      </c>
      <c r="F24" s="12">
        <f>(F23-E23)/E23</f>
        <v>-9.080374715564922E-3</v>
      </c>
      <c r="G24" s="12">
        <f>(G23-F23)/F23</f>
        <v>-9.1234510503820452E-3</v>
      </c>
      <c r="H24" s="12">
        <f>(H23-G23)/G23</f>
        <v>1.0000888729370465</v>
      </c>
      <c r="I24" s="9"/>
      <c r="J24" s="1" t="s">
        <v>6</v>
      </c>
      <c r="K24" s="11">
        <v>0.19952909836471872</v>
      </c>
      <c r="L24" s="11">
        <v>9.2776241963471826E-2</v>
      </c>
      <c r="M24" s="11">
        <v>7.9507406356679466E-3</v>
      </c>
      <c r="N24" s="11">
        <v>7.1848558011554185E-3</v>
      </c>
      <c r="O24" s="12">
        <v>0.61525176687642269</v>
      </c>
      <c r="AE24" s="1" t="s">
        <v>30</v>
      </c>
      <c r="AF24" s="5">
        <v>148.28103121799998</v>
      </c>
      <c r="AG24" s="17">
        <f t="shared" si="5"/>
        <v>0.52138739474962936</v>
      </c>
      <c r="AH24" s="5">
        <v>116.486103297</v>
      </c>
      <c r="AI24" s="17">
        <f t="shared" si="0"/>
        <v>0.54020585363455476</v>
      </c>
      <c r="AJ24" s="5">
        <v>106.153180245</v>
      </c>
      <c r="AK24" s="17">
        <f t="shared" si="1"/>
        <v>0.53224571188766445</v>
      </c>
      <c r="AL24" s="5">
        <v>105.42676770999999</v>
      </c>
      <c r="AM24" s="17">
        <f t="shared" si="2"/>
        <v>0.53080813932047444</v>
      </c>
      <c r="AN24" s="5">
        <v>104.660834073</v>
      </c>
      <c r="AO24" s="17">
        <f t="shared" si="3"/>
        <v>0.52871765364123191</v>
      </c>
      <c r="AP24" s="5">
        <v>174.579399825</v>
      </c>
      <c r="AQ24" s="17">
        <f t="shared" si="4"/>
        <v>0.43653982344586362</v>
      </c>
      <c r="AR24" s="9"/>
      <c r="AS24" s="1" t="s">
        <v>46</v>
      </c>
      <c r="AT24" s="17">
        <v>0.19701829757753511</v>
      </c>
      <c r="AU24" s="17">
        <v>0.22210415290300173</v>
      </c>
      <c r="AV24" s="17">
        <v>0.23413120820735775</v>
      </c>
      <c r="AW24" s="17">
        <v>0.23508549219542182</v>
      </c>
      <c r="AX24" s="17">
        <v>0.23435224805029628</v>
      </c>
      <c r="AY24" s="17">
        <v>0.17499240608342082</v>
      </c>
      <c r="AZ24" s="9"/>
    </row>
    <row r="25" spans="2:52" ht="15" x14ac:dyDescent="0.25">
      <c r="B25" s="1" t="s">
        <v>20</v>
      </c>
      <c r="C25" s="4">
        <v>69.043436100000008</v>
      </c>
      <c r="D25" s="4">
        <v>53.95659335999958</v>
      </c>
      <c r="E25" s="4">
        <v>49.495802347499733</v>
      </c>
      <c r="F25" s="4">
        <v>49.142637682499817</v>
      </c>
      <c r="G25" s="4">
        <v>48.792402272499707</v>
      </c>
      <c r="H25" s="4">
        <v>90.843124179999649</v>
      </c>
      <c r="I25" s="9"/>
      <c r="J25" s="1" t="s">
        <v>7</v>
      </c>
      <c r="K25" s="11">
        <v>0.18275366788775244</v>
      </c>
      <c r="L25" s="11">
        <v>8.3848009222086947E-2</v>
      </c>
      <c r="M25" s="11">
        <v>7.1836449514437999E-3</v>
      </c>
      <c r="N25" s="11">
        <v>7.7742691626400181E-3</v>
      </c>
      <c r="O25" s="12">
        <v>0.53757451569472114</v>
      </c>
      <c r="AE25" s="1" t="s">
        <v>31</v>
      </c>
      <c r="AF25" s="5">
        <v>173.029197385</v>
      </c>
      <c r="AG25" s="17">
        <f t="shared" si="5"/>
        <v>0.16690041850744708</v>
      </c>
      <c r="AH25" s="5">
        <v>138.50483764000001</v>
      </c>
      <c r="AI25" s="17">
        <f t="shared" si="0"/>
        <v>0.18902455932326717</v>
      </c>
      <c r="AJ25" s="5">
        <v>125.65487930999998</v>
      </c>
      <c r="AK25" s="17">
        <f t="shared" si="1"/>
        <v>0.18371281029913888</v>
      </c>
      <c r="AL25" s="5">
        <v>124.65582995500002</v>
      </c>
      <c r="AM25" s="17">
        <f t="shared" si="2"/>
        <v>0.1823925997417836</v>
      </c>
      <c r="AN25" s="5">
        <v>123.76019579199999</v>
      </c>
      <c r="AO25" s="17">
        <f t="shared" si="3"/>
        <v>0.18248814743515565</v>
      </c>
      <c r="AP25" s="5">
        <v>199.903874922</v>
      </c>
      <c r="AQ25" s="17">
        <f t="shared" si="4"/>
        <v>0.14505992758816613</v>
      </c>
      <c r="AR25" s="9"/>
      <c r="AS25" s="9"/>
      <c r="AT25" s="9"/>
      <c r="AU25" s="9"/>
      <c r="AV25" s="9"/>
      <c r="AW25" s="9"/>
      <c r="AX25" s="9"/>
      <c r="AY25" s="9"/>
      <c r="AZ25" s="9"/>
    </row>
    <row r="26" spans="2:52" ht="15" x14ac:dyDescent="0.25">
      <c r="B26" s="1"/>
      <c r="C26" s="1"/>
      <c r="D26" s="12">
        <f>(D25-C25)/C25</f>
        <v>-0.21851233936487738</v>
      </c>
      <c r="E26" s="12">
        <f>(E25-D25)/D25</f>
        <v>-8.2673696293932994E-2</v>
      </c>
      <c r="F26" s="12">
        <f>(F25-E25)/E25</f>
        <v>-7.1352447732924984E-3</v>
      </c>
      <c r="G26" s="12">
        <f>(G25-F25)/F25</f>
        <v>-7.1269151701401703E-3</v>
      </c>
      <c r="H26" s="12">
        <f>(H25-G25)/G25</f>
        <v>0.86182930023924031</v>
      </c>
      <c r="I26" s="9"/>
      <c r="AE26" s="1" t="s">
        <v>32</v>
      </c>
      <c r="AF26" s="5">
        <v>207.11911528499999</v>
      </c>
      <c r="AG26" s="17">
        <f t="shared" si="5"/>
        <v>0.19701829757753511</v>
      </c>
      <c r="AH26" s="5">
        <v>169.267337277</v>
      </c>
      <c r="AI26" s="17">
        <f t="shared" si="0"/>
        <v>0.22210415290300173</v>
      </c>
      <c r="AJ26" s="5">
        <v>155.07460802</v>
      </c>
      <c r="AK26" s="17">
        <f t="shared" si="1"/>
        <v>0.23413120820735775</v>
      </c>
      <c r="AL26" s="5">
        <v>153.960607095</v>
      </c>
      <c r="AM26" s="17">
        <f t="shared" si="2"/>
        <v>0.23508549219542182</v>
      </c>
      <c r="AN26" s="5">
        <v>152.76367589500001</v>
      </c>
      <c r="AO26" s="17">
        <f t="shared" si="3"/>
        <v>0.23435224805029628</v>
      </c>
      <c r="AP26" s="5">
        <v>234.88553497999999</v>
      </c>
      <c r="AQ26" s="17">
        <f t="shared" si="4"/>
        <v>0.17499240608342082</v>
      </c>
      <c r="AR26" s="9"/>
      <c r="AS26" s="9"/>
      <c r="AT26" s="9"/>
      <c r="AU26" s="9"/>
      <c r="AV26" s="9"/>
      <c r="AW26" s="9"/>
      <c r="AX26" s="9"/>
      <c r="AY26" s="9"/>
      <c r="AZ26" s="9"/>
    </row>
    <row r="27" spans="2:52" ht="15" x14ac:dyDescent="0.25">
      <c r="B27" s="1" t="s">
        <v>29</v>
      </c>
      <c r="C27" s="5">
        <v>97.464348482000005</v>
      </c>
      <c r="D27" s="5">
        <v>75.630217235000003</v>
      </c>
      <c r="E27" s="5">
        <v>69.279476145000004</v>
      </c>
      <c r="F27" s="5">
        <v>68.870007287000007</v>
      </c>
      <c r="G27" s="5">
        <v>68.463155262000001</v>
      </c>
      <c r="H27" s="5">
        <v>121.52771331199999</v>
      </c>
      <c r="I27" s="9"/>
      <c r="J27" s="9"/>
      <c r="K27" s="10" t="s">
        <v>22</v>
      </c>
      <c r="L27" s="10" t="s">
        <v>23</v>
      </c>
      <c r="M27" s="10" t="s">
        <v>24</v>
      </c>
      <c r="N27" s="10" t="s">
        <v>25</v>
      </c>
      <c r="O27" s="10" t="s">
        <v>26</v>
      </c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2:52" ht="15" x14ac:dyDescent="0.25">
      <c r="B28" s="1"/>
      <c r="C28" s="5"/>
      <c r="D28" s="12">
        <f>(D27-C27)/C27</f>
        <v>-0.22402172268183163</v>
      </c>
      <c r="E28" s="12">
        <f>(E27-D27)/D27</f>
        <v>-8.397094867871166E-2</v>
      </c>
      <c r="F28" s="12">
        <f>(F27-E27)/E27</f>
        <v>-5.9103919484464621E-3</v>
      </c>
      <c r="G28" s="12">
        <f>(G27-F27)/F27</f>
        <v>-5.9075356752111771E-3</v>
      </c>
      <c r="H28" s="12">
        <f>(H27-G27)/G27</f>
        <v>0.77508198164295095</v>
      </c>
      <c r="I28" s="9"/>
      <c r="J28" s="1" t="s">
        <v>0</v>
      </c>
      <c r="K28" s="11">
        <f>K18*-1</f>
        <v>-0.43445765225865768</v>
      </c>
      <c r="L28" s="11">
        <f>L18*-1</f>
        <v>-0.29983490816778474</v>
      </c>
      <c r="M28" s="11">
        <f>M18*-1</f>
        <v>-2.9482962487378212E-2</v>
      </c>
      <c r="N28" s="11">
        <f>N18*-1</f>
        <v>-2.9449465183003034E-2</v>
      </c>
      <c r="O28" s="12">
        <v>2.8515957971399084</v>
      </c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2:52" ht="15" x14ac:dyDescent="0.25">
      <c r="B29" s="1" t="s">
        <v>30</v>
      </c>
      <c r="C29" s="5">
        <v>148.28103121799998</v>
      </c>
      <c r="D29" s="5">
        <v>116.486103297</v>
      </c>
      <c r="E29" s="5">
        <v>106.153180245</v>
      </c>
      <c r="F29" s="5">
        <v>105.42676770999999</v>
      </c>
      <c r="G29" s="5">
        <v>104.660834073</v>
      </c>
      <c r="H29" s="5">
        <v>174.579399825</v>
      </c>
      <c r="I29" s="9"/>
      <c r="J29" s="1" t="s">
        <v>1</v>
      </c>
      <c r="K29" s="11">
        <f t="shared" ref="K29:N35" si="6">K19*-1</f>
        <v>-0.26005973923139997</v>
      </c>
      <c r="L29" s="11">
        <f t="shared" si="6"/>
        <v>-0.13114323130778913</v>
      </c>
      <c r="M29" s="11">
        <f t="shared" si="6"/>
        <v>-1.2233894611715217E-2</v>
      </c>
      <c r="N29" s="11">
        <f t="shared" si="6"/>
        <v>-1.2301803482391903E-2</v>
      </c>
      <c r="O29" s="12">
        <v>1.1530176234359066</v>
      </c>
      <c r="AE29" s="13" t="s">
        <v>47</v>
      </c>
      <c r="AF29" s="14"/>
      <c r="AG29" s="14"/>
      <c r="AH29" s="15"/>
      <c r="AI29" s="15"/>
      <c r="AJ29" s="15"/>
      <c r="AK29" s="15"/>
      <c r="AL29" s="15"/>
      <c r="AM29" s="15"/>
      <c r="AN29" s="15"/>
      <c r="AO29" s="15"/>
      <c r="AP29" s="5"/>
      <c r="AQ29" s="5"/>
      <c r="AR29" s="9"/>
      <c r="AS29" s="13" t="s">
        <v>47</v>
      </c>
      <c r="AT29" s="14"/>
      <c r="AU29" s="14"/>
      <c r="AV29" s="15"/>
      <c r="AW29" s="15"/>
      <c r="AX29" s="15"/>
      <c r="AY29" s="15"/>
      <c r="AZ29" s="15"/>
    </row>
    <row r="30" spans="2:52" ht="15" x14ac:dyDescent="0.25">
      <c r="B30" s="1"/>
      <c r="C30" s="5"/>
      <c r="D30" s="12">
        <f>(D29-C29)/C29</f>
        <v>-0.21442343406862122</v>
      </c>
      <c r="E30" s="12">
        <f>(E29-D29)/D29</f>
        <v>-8.8705199672226606E-2</v>
      </c>
      <c r="F30" s="12">
        <f>(F29-E29)/E29</f>
        <v>-6.8430595609425826E-3</v>
      </c>
      <c r="G30" s="12">
        <f>(G29-F29)/F29</f>
        <v>-7.2650774906318069E-3</v>
      </c>
      <c r="H30" s="12">
        <f>(H29-G29)/G29</f>
        <v>0.66804900200998218</v>
      </c>
      <c r="I30" s="9"/>
      <c r="J30" s="1" t="s">
        <v>2</v>
      </c>
      <c r="K30" s="11">
        <f t="shared" si="6"/>
        <v>-0.23548718241655442</v>
      </c>
      <c r="L30" s="11">
        <f t="shared" si="6"/>
        <v>-0.10140145056954471</v>
      </c>
      <c r="M30" s="11">
        <f t="shared" si="6"/>
        <v>-9.080374715564922E-3</v>
      </c>
      <c r="N30" s="11">
        <f t="shared" si="6"/>
        <v>-9.1234510503820452E-3</v>
      </c>
      <c r="O30" s="12">
        <v>1.0000888729370465</v>
      </c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5"/>
      <c r="AQ30" s="5"/>
      <c r="AR30" s="9"/>
      <c r="AS30" s="1"/>
      <c r="AT30" s="16" t="s">
        <v>8</v>
      </c>
      <c r="AU30" s="1" t="s">
        <v>9</v>
      </c>
      <c r="AV30" s="1" t="s">
        <v>10</v>
      </c>
      <c r="AW30" s="1" t="s">
        <v>11</v>
      </c>
      <c r="AX30" s="1" t="s">
        <v>12</v>
      </c>
      <c r="AY30" s="1" t="s">
        <v>13</v>
      </c>
      <c r="AZ30" s="9"/>
    </row>
    <row r="31" spans="2:52" ht="15" x14ac:dyDescent="0.25">
      <c r="B31" s="1" t="s">
        <v>31</v>
      </c>
      <c r="C31" s="5">
        <v>173.029197385</v>
      </c>
      <c r="D31" s="5">
        <v>138.50483764000001</v>
      </c>
      <c r="E31" s="5">
        <v>125.65487930999998</v>
      </c>
      <c r="F31" s="5">
        <v>124.65582995500002</v>
      </c>
      <c r="G31" s="5">
        <v>123.76019579199999</v>
      </c>
      <c r="H31" s="5">
        <v>199.903874922</v>
      </c>
      <c r="I31" s="9"/>
      <c r="J31" s="1" t="s">
        <v>3</v>
      </c>
      <c r="K31" s="11">
        <f t="shared" si="6"/>
        <v>-0.21851233936487738</v>
      </c>
      <c r="L31" s="11">
        <f t="shared" si="6"/>
        <v>-8.2673696293932994E-2</v>
      </c>
      <c r="M31" s="11">
        <f t="shared" si="6"/>
        <v>-7.1352447732924984E-3</v>
      </c>
      <c r="N31" s="11">
        <f t="shared" si="6"/>
        <v>-7.1269151701401703E-3</v>
      </c>
      <c r="O31" s="12">
        <v>0.86182930023924031</v>
      </c>
      <c r="AE31" s="1" t="s">
        <v>27</v>
      </c>
      <c r="AF31" s="16" t="s">
        <v>8</v>
      </c>
      <c r="AG31" s="1"/>
      <c r="AH31" s="1" t="s">
        <v>9</v>
      </c>
      <c r="AI31" s="1"/>
      <c r="AJ31" s="1" t="s">
        <v>10</v>
      </c>
      <c r="AK31" s="1"/>
      <c r="AL31" s="1" t="s">
        <v>11</v>
      </c>
      <c r="AM31" s="1"/>
      <c r="AN31" s="1" t="s">
        <v>12</v>
      </c>
      <c r="AO31" s="1"/>
      <c r="AP31" s="1" t="s">
        <v>13</v>
      </c>
      <c r="AQ31" s="5"/>
      <c r="AR31" s="9"/>
      <c r="AS31" s="1" t="s">
        <v>40</v>
      </c>
      <c r="AT31" s="17">
        <v>1.5573522599571392</v>
      </c>
      <c r="AU31" s="17">
        <v>2.3459702985413129</v>
      </c>
      <c r="AV31" s="17">
        <v>3.1521192296564529</v>
      </c>
      <c r="AW31" s="17">
        <v>3.2259151380763078</v>
      </c>
      <c r="AX31" s="17">
        <v>3.300578497235537</v>
      </c>
      <c r="AY31" s="17">
        <v>1.4039961053008907</v>
      </c>
      <c r="AZ31" s="9"/>
    </row>
    <row r="32" spans="2:52" ht="15" x14ac:dyDescent="0.25">
      <c r="B32" s="1"/>
      <c r="C32" s="5"/>
      <c r="D32" s="12">
        <f>(D31-C31)/C31</f>
        <v>-0.19952909836471872</v>
      </c>
      <c r="E32" s="12">
        <f>(E31-D31)/D31</f>
        <v>-9.2776241963471826E-2</v>
      </c>
      <c r="F32" s="12">
        <f>(F31-E31)/E31</f>
        <v>-7.9507406356679466E-3</v>
      </c>
      <c r="G32" s="12">
        <f>(G31-F31)/F31</f>
        <v>-7.1848558011554185E-3</v>
      </c>
      <c r="H32" s="12">
        <f>(H31-G31)/G31</f>
        <v>0.61525176687642269</v>
      </c>
      <c r="I32" s="9"/>
      <c r="J32" s="1" t="s">
        <v>4</v>
      </c>
      <c r="K32" s="11">
        <f t="shared" si="6"/>
        <v>-0.22402172268183163</v>
      </c>
      <c r="L32" s="11">
        <f t="shared" si="6"/>
        <v>-8.397094867871166E-2</v>
      </c>
      <c r="M32" s="11">
        <f t="shared" si="6"/>
        <v>-5.9103919484464621E-3</v>
      </c>
      <c r="N32" s="11">
        <f t="shared" si="6"/>
        <v>-5.9075356752111771E-3</v>
      </c>
      <c r="O32" s="12">
        <v>0.77508198164295095</v>
      </c>
      <c r="AE32" s="1" t="s">
        <v>17</v>
      </c>
      <c r="AF32" s="4">
        <v>14.47560552749972</v>
      </c>
      <c r="AG32" s="1"/>
      <c r="AH32" s="4">
        <v>8.1865679349997436</v>
      </c>
      <c r="AI32" s="1"/>
      <c r="AJ32" s="4">
        <v>5.7319490899997643</v>
      </c>
      <c r="AK32" s="1"/>
      <c r="AL32" s="4">
        <v>5.5629542499997395</v>
      </c>
      <c r="AM32" s="1"/>
      <c r="AN32" s="4">
        <v>5.3991282224997335</v>
      </c>
      <c r="AO32" s="1"/>
      <c r="AP32" s="4">
        <v>20.795259569999438</v>
      </c>
      <c r="AQ32" s="5"/>
      <c r="AR32" s="9"/>
      <c r="AS32" s="1" t="s">
        <v>48</v>
      </c>
      <c r="AT32" s="17">
        <v>2.5290298658285661</v>
      </c>
      <c r="AU32" s="17">
        <v>3.7706216463469571</v>
      </c>
      <c r="AV32" s="17">
        <v>5.1226612713165585</v>
      </c>
      <c r="AW32" s="17">
        <v>5.251374245078746</v>
      </c>
      <c r="AX32" s="17">
        <v>5.3822953220299148</v>
      </c>
      <c r="AY32" s="17">
        <v>2.3142516841640703</v>
      </c>
      <c r="AZ32" s="5"/>
    </row>
    <row r="33" spans="2:52" ht="15" x14ac:dyDescent="0.25">
      <c r="B33" s="1" t="s">
        <v>32</v>
      </c>
      <c r="C33" s="5">
        <v>207.11911528499999</v>
      </c>
      <c r="D33" s="5">
        <v>169.267337277</v>
      </c>
      <c r="E33" s="5">
        <v>155.07460802</v>
      </c>
      <c r="F33" s="5">
        <v>153.960607095</v>
      </c>
      <c r="G33" s="5">
        <v>152.76367589500001</v>
      </c>
      <c r="H33" s="5">
        <v>234.88553497999999</v>
      </c>
      <c r="I33" s="9"/>
      <c r="J33" s="1" t="s">
        <v>5</v>
      </c>
      <c r="K33" s="11">
        <f t="shared" si="6"/>
        <v>-0.21442343406862122</v>
      </c>
      <c r="L33" s="11">
        <f t="shared" si="6"/>
        <v>-8.8705199672226606E-2</v>
      </c>
      <c r="M33" s="11">
        <f t="shared" si="6"/>
        <v>-6.8430595609425826E-3</v>
      </c>
      <c r="N33" s="11">
        <f t="shared" si="6"/>
        <v>-7.2650774906318069E-3</v>
      </c>
      <c r="O33" s="12">
        <v>0.66804900200998218</v>
      </c>
      <c r="AE33" s="1" t="s">
        <v>18</v>
      </c>
      <c r="AF33" s="4">
        <v>37.019222509999466</v>
      </c>
      <c r="AG33" s="17">
        <f t="shared" ref="AG33:AG39" si="7">(AF33-$AF$32)/$AF$32</f>
        <v>1.5573522599571392</v>
      </c>
      <c r="AH33" s="4">
        <v>27.392013157499832</v>
      </c>
      <c r="AI33" s="17">
        <f t="shared" ref="AI33:AI39" si="8">(AH33-$AH$32)/$AH$32</f>
        <v>2.3459702985413129</v>
      </c>
      <c r="AJ33" s="4">
        <v>23.799736039999829</v>
      </c>
      <c r="AK33" s="17">
        <f t="shared" ref="AK33:AK39" si="9">(AJ33-$AJ$32)/$AJ$32</f>
        <v>3.1521192296564529</v>
      </c>
      <c r="AL33" s="4">
        <v>23.50857257749983</v>
      </c>
      <c r="AM33" s="17">
        <f t="shared" ref="AM33:AM39" si="10">(AL33-$AL$32)/$AL$32</f>
        <v>3.2259151380763078</v>
      </c>
      <c r="AN33" s="4">
        <v>23.21937473749988</v>
      </c>
      <c r="AO33" s="17">
        <f t="shared" ref="AO33:AO39" si="11">(AN33-$AN$32)/$AN$32</f>
        <v>3.300578497235537</v>
      </c>
      <c r="AP33" s="4">
        <v>49.991723014999721</v>
      </c>
      <c r="AQ33" s="17">
        <f t="shared" ref="AQ33:AQ39" si="12">(AP33-$AP$32)/$AP$32</f>
        <v>1.4039961053008907</v>
      </c>
      <c r="AR33" s="9"/>
      <c r="AS33" s="1" t="s">
        <v>49</v>
      </c>
      <c r="AT33" s="17">
        <v>3.7696406184070312</v>
      </c>
      <c r="AU33" s="17">
        <v>5.5908685774561118</v>
      </c>
      <c r="AV33" s="17">
        <v>7.6350736146370357</v>
      </c>
      <c r="AW33" s="17">
        <v>7.8339100905786019</v>
      </c>
      <c r="AX33" s="17">
        <v>8.0370890006219184</v>
      </c>
      <c r="AY33" s="17">
        <v>3.3684534869213993</v>
      </c>
      <c r="AZ33" s="9"/>
    </row>
    <row r="34" spans="2:52" ht="15" x14ac:dyDescent="0.25">
      <c r="B34" s="9"/>
      <c r="C34" s="8"/>
      <c r="D34" s="12">
        <f>(D33-C33)/C33</f>
        <v>-0.18275366788775244</v>
      </c>
      <c r="E34" s="12">
        <f>(E33-D33)/D33</f>
        <v>-8.3848009222086947E-2</v>
      </c>
      <c r="F34" s="12">
        <f>(F33-E33)/E33</f>
        <v>-7.1836449514437999E-3</v>
      </c>
      <c r="G34" s="12">
        <f>(G33-F33)/F33</f>
        <v>-7.7742691626400181E-3</v>
      </c>
      <c r="H34" s="12">
        <f>(H33-G33)/G33</f>
        <v>0.53757451569472114</v>
      </c>
      <c r="I34" s="9"/>
      <c r="J34" s="1" t="s">
        <v>6</v>
      </c>
      <c r="K34" s="11">
        <f t="shared" si="6"/>
        <v>-0.19952909836471872</v>
      </c>
      <c r="L34" s="11">
        <f t="shared" si="6"/>
        <v>-9.2776241963471826E-2</v>
      </c>
      <c r="M34" s="11">
        <f t="shared" si="6"/>
        <v>-7.9507406356679466E-3</v>
      </c>
      <c r="N34" s="11">
        <f t="shared" si="6"/>
        <v>-7.1848558011554185E-3</v>
      </c>
      <c r="O34" s="12">
        <v>0.61525176687642269</v>
      </c>
      <c r="AE34" s="1" t="s">
        <v>19</v>
      </c>
      <c r="AF34" s="4">
        <v>51.084844232499584</v>
      </c>
      <c r="AG34" s="17">
        <f t="shared" si="7"/>
        <v>2.5290298658285661</v>
      </c>
      <c r="AH34" s="4">
        <v>39.055018199999687</v>
      </c>
      <c r="AI34" s="17">
        <f t="shared" si="8"/>
        <v>3.7706216463469571</v>
      </c>
      <c r="AJ34" s="4">
        <v>35.094782702499749</v>
      </c>
      <c r="AK34" s="17">
        <f t="shared" si="9"/>
        <v>5.1226612713165585</v>
      </c>
      <c r="AL34" s="4">
        <v>34.776108924999726</v>
      </c>
      <c r="AM34" s="17">
        <f t="shared" si="10"/>
        <v>5.251374245078746</v>
      </c>
      <c r="AN34" s="4">
        <v>34.458830797499736</v>
      </c>
      <c r="AO34" s="17">
        <f t="shared" si="11"/>
        <v>5.3822953220299148</v>
      </c>
      <c r="AP34" s="4">
        <v>68.920724052499637</v>
      </c>
      <c r="AQ34" s="17">
        <f t="shared" si="12"/>
        <v>2.3142516841640703</v>
      </c>
      <c r="AR34" s="9"/>
      <c r="AS34" s="1" t="s">
        <v>50</v>
      </c>
      <c r="AT34" s="17">
        <v>5.7330066639937236</v>
      </c>
      <c r="AU34" s="17">
        <v>8.2383301324185947</v>
      </c>
      <c r="AV34" s="17">
        <v>11.086547709551072</v>
      </c>
      <c r="AW34" s="17">
        <v>11.380113909260215</v>
      </c>
      <c r="AX34" s="17">
        <v>11.680409214342081</v>
      </c>
      <c r="AY34" s="17">
        <v>4.8440104054927788</v>
      </c>
      <c r="AZ34" s="9"/>
    </row>
    <row r="35" spans="2:52" ht="15" x14ac:dyDescent="0.25">
      <c r="B35" s="9"/>
      <c r="C35" s="8"/>
      <c r="D35" s="8"/>
      <c r="E35" s="8"/>
      <c r="F35" s="8"/>
      <c r="G35" s="8"/>
      <c r="H35" s="8"/>
      <c r="I35" s="9"/>
      <c r="J35" s="1" t="s">
        <v>7</v>
      </c>
      <c r="K35" s="11">
        <f t="shared" si="6"/>
        <v>-0.18275366788775244</v>
      </c>
      <c r="L35" s="11">
        <f t="shared" si="6"/>
        <v>-8.3848009222086947E-2</v>
      </c>
      <c r="M35" s="11">
        <f t="shared" si="6"/>
        <v>-7.1836449514437999E-3</v>
      </c>
      <c r="N35" s="11">
        <f t="shared" si="6"/>
        <v>-7.7742691626400181E-3</v>
      </c>
      <c r="O35" s="12">
        <v>0.53757451569472114</v>
      </c>
      <c r="AE35" s="1" t="s">
        <v>20</v>
      </c>
      <c r="AF35" s="4">
        <v>69.043436100000008</v>
      </c>
      <c r="AG35" s="17">
        <f t="shared" si="7"/>
        <v>3.7696406184070312</v>
      </c>
      <c r="AH35" s="4">
        <v>53.95659335999958</v>
      </c>
      <c r="AI35" s="17">
        <f t="shared" si="8"/>
        <v>5.5908685774561118</v>
      </c>
      <c r="AJ35" s="4">
        <v>49.495802347499733</v>
      </c>
      <c r="AK35" s="17">
        <f t="shared" si="9"/>
        <v>7.6350736146370357</v>
      </c>
      <c r="AL35" s="4">
        <v>49.142637682499817</v>
      </c>
      <c r="AM35" s="17">
        <f t="shared" si="10"/>
        <v>7.8339100905786019</v>
      </c>
      <c r="AN35" s="4">
        <v>48.792402272499707</v>
      </c>
      <c r="AO35" s="17">
        <f t="shared" si="11"/>
        <v>8.0370890006219184</v>
      </c>
      <c r="AP35" s="4">
        <v>90.843124179999649</v>
      </c>
      <c r="AQ35" s="17">
        <f t="shared" si="12"/>
        <v>3.3684534869213993</v>
      </c>
      <c r="AR35" s="9"/>
      <c r="AS35" s="1" t="s">
        <v>51</v>
      </c>
      <c r="AT35" s="17">
        <v>9.2435114673653054</v>
      </c>
      <c r="AU35" s="17">
        <v>13.228930147759611</v>
      </c>
      <c r="AV35" s="17">
        <v>17.519560899485306</v>
      </c>
      <c r="AW35" s="17">
        <v>17.951579138010157</v>
      </c>
      <c r="AX35" s="17">
        <v>18.384765421359685</v>
      </c>
      <c r="AY35" s="17">
        <v>7.3951536761223853</v>
      </c>
      <c r="AZ35" s="9"/>
    </row>
    <row r="36" spans="2:52" ht="15" x14ac:dyDescent="0.25">
      <c r="B36" s="6" t="s">
        <v>33</v>
      </c>
      <c r="C36" s="7"/>
      <c r="D36" s="7"/>
      <c r="E36" s="7"/>
      <c r="F36" s="7"/>
      <c r="G36" s="8"/>
      <c r="H36" s="8"/>
      <c r="I36" s="9"/>
      <c r="J36" s="6" t="s">
        <v>21</v>
      </c>
      <c r="K36" s="7"/>
      <c r="L36" s="7"/>
      <c r="M36" s="7"/>
      <c r="N36" s="7"/>
      <c r="AE36" s="1" t="s">
        <v>29</v>
      </c>
      <c r="AF36" s="5">
        <v>97.464348482000005</v>
      </c>
      <c r="AG36" s="17">
        <f t="shared" si="7"/>
        <v>5.7330066639937236</v>
      </c>
      <c r="AH36" s="5">
        <v>75.630217235000003</v>
      </c>
      <c r="AI36" s="17">
        <f t="shared" si="8"/>
        <v>8.2383301324185947</v>
      </c>
      <c r="AJ36" s="5">
        <v>69.279476145000004</v>
      </c>
      <c r="AK36" s="17">
        <f t="shared" si="9"/>
        <v>11.086547709551072</v>
      </c>
      <c r="AL36" s="5">
        <v>68.870007287000007</v>
      </c>
      <c r="AM36" s="17">
        <f t="shared" si="10"/>
        <v>11.380113909260215</v>
      </c>
      <c r="AN36" s="5">
        <v>68.463155262000001</v>
      </c>
      <c r="AO36" s="17">
        <f t="shared" si="11"/>
        <v>11.680409214342081</v>
      </c>
      <c r="AP36" s="5">
        <v>121.52771331199999</v>
      </c>
      <c r="AQ36" s="17">
        <f t="shared" si="12"/>
        <v>4.8440104054927788</v>
      </c>
      <c r="AR36" s="9"/>
      <c r="AS36" s="1" t="s">
        <v>52</v>
      </c>
      <c r="AT36" s="17">
        <v>10.953157818254409</v>
      </c>
      <c r="AU36" s="17">
        <v>15.918547398581424</v>
      </c>
      <c r="AV36" s="17">
        <v>20.921841477835798</v>
      </c>
      <c r="AW36" s="17">
        <v>21.408206926203977</v>
      </c>
      <c r="AX36" s="17">
        <v>21.922255351568676</v>
      </c>
      <c r="AY36" s="17">
        <v>8.6129540604722248</v>
      </c>
      <c r="AZ36" s="9"/>
    </row>
    <row r="37" spans="2:52" ht="15" x14ac:dyDescent="0.25">
      <c r="B37" s="1" t="s">
        <v>27</v>
      </c>
      <c r="C37" s="1" t="s">
        <v>28</v>
      </c>
      <c r="D37" s="3" t="s">
        <v>34</v>
      </c>
      <c r="E37" s="3" t="s">
        <v>35</v>
      </c>
      <c r="F37" s="3" t="s">
        <v>36</v>
      </c>
      <c r="G37" s="3" t="s">
        <v>37</v>
      </c>
      <c r="H37" s="3" t="s">
        <v>38</v>
      </c>
      <c r="I37" s="9"/>
      <c r="J37" s="9"/>
      <c r="K37" s="3" t="s">
        <v>34</v>
      </c>
      <c r="L37" s="3" t="s">
        <v>35</v>
      </c>
      <c r="M37" s="3" t="s">
        <v>36</v>
      </c>
      <c r="N37" s="3" t="s">
        <v>37</v>
      </c>
      <c r="O37" s="3" t="s">
        <v>38</v>
      </c>
      <c r="AE37" s="1" t="s">
        <v>30</v>
      </c>
      <c r="AF37" s="5">
        <v>148.28103121799998</v>
      </c>
      <c r="AG37" s="17">
        <f t="shared" si="7"/>
        <v>9.2435114673653054</v>
      </c>
      <c r="AH37" s="5">
        <v>116.486103297</v>
      </c>
      <c r="AI37" s="17">
        <f t="shared" si="8"/>
        <v>13.228930147759611</v>
      </c>
      <c r="AJ37" s="5">
        <v>106.153180245</v>
      </c>
      <c r="AK37" s="17">
        <f t="shared" si="9"/>
        <v>17.519560899485306</v>
      </c>
      <c r="AL37" s="5">
        <v>105.42676770999999</v>
      </c>
      <c r="AM37" s="17">
        <f t="shared" si="10"/>
        <v>17.951579138010157</v>
      </c>
      <c r="AN37" s="5">
        <v>104.660834073</v>
      </c>
      <c r="AO37" s="17">
        <f t="shared" si="11"/>
        <v>18.384765421359685</v>
      </c>
      <c r="AP37" s="5">
        <v>174.579399825</v>
      </c>
      <c r="AQ37" s="17">
        <f t="shared" si="12"/>
        <v>7.3951536761223853</v>
      </c>
      <c r="AR37" s="9"/>
      <c r="AS37" s="1" t="s">
        <v>53</v>
      </c>
      <c r="AT37" s="17">
        <v>13.308148622282497</v>
      </c>
      <c r="AU37" s="17">
        <v>19.676227036892634</v>
      </c>
      <c r="AV37" s="17">
        <v>26.05442870917166</v>
      </c>
      <c r="AW37" s="17">
        <v>26.676051280667501</v>
      </c>
      <c r="AX37" s="17">
        <v>27.294137423591728</v>
      </c>
      <c r="AY37" s="17">
        <v>10.29514802108365</v>
      </c>
      <c r="AZ37" s="9"/>
    </row>
    <row r="38" spans="2:52" ht="15" x14ac:dyDescent="0.25">
      <c r="B38" s="1" t="s">
        <v>17</v>
      </c>
      <c r="C38" s="4">
        <v>14.47560552749972</v>
      </c>
      <c r="D38" s="4">
        <v>8.1865679349997436</v>
      </c>
      <c r="E38" s="4">
        <v>5.7319490899997643</v>
      </c>
      <c r="F38" s="4">
        <v>5.5629542499997395</v>
      </c>
      <c r="G38" s="4">
        <v>5.3991282224997335</v>
      </c>
      <c r="H38" s="4">
        <v>20.795259569999438</v>
      </c>
      <c r="I38" s="9"/>
      <c r="J38" s="1" t="s">
        <v>0</v>
      </c>
      <c r="K38" s="11">
        <v>0.43445765225865768</v>
      </c>
      <c r="L38" s="11">
        <v>0.60402699015867645</v>
      </c>
      <c r="M38" s="11">
        <v>0.61570144755384248</v>
      </c>
      <c r="N38" s="11">
        <v>0.62701883439398398</v>
      </c>
      <c r="O38" s="11">
        <v>0.43657268986047532</v>
      </c>
      <c r="AE38" s="1" t="s">
        <v>31</v>
      </c>
      <c r="AF38" s="5">
        <v>173.029197385</v>
      </c>
      <c r="AG38" s="17">
        <f t="shared" si="7"/>
        <v>10.953157818254409</v>
      </c>
      <c r="AH38" s="5">
        <v>138.50483764000001</v>
      </c>
      <c r="AI38" s="17">
        <f t="shared" si="8"/>
        <v>15.918547398581424</v>
      </c>
      <c r="AJ38" s="5">
        <v>125.65487930999998</v>
      </c>
      <c r="AK38" s="17">
        <f t="shared" si="9"/>
        <v>20.921841477835798</v>
      </c>
      <c r="AL38" s="5">
        <v>124.65582995500002</v>
      </c>
      <c r="AM38" s="17">
        <f t="shared" si="10"/>
        <v>21.408206926203977</v>
      </c>
      <c r="AN38" s="5">
        <v>123.76019579199999</v>
      </c>
      <c r="AO38" s="17">
        <f t="shared" si="11"/>
        <v>21.922255351568676</v>
      </c>
      <c r="AP38" s="5">
        <v>199.903874922</v>
      </c>
      <c r="AQ38" s="17">
        <f t="shared" si="12"/>
        <v>8.6129540604722248</v>
      </c>
      <c r="AR38" s="9"/>
      <c r="AS38" s="9"/>
      <c r="AT38" s="9"/>
      <c r="AU38" s="9"/>
      <c r="AV38" s="9"/>
      <c r="AW38" s="9"/>
      <c r="AX38" s="9"/>
      <c r="AY38" s="9"/>
      <c r="AZ38" s="9"/>
    </row>
    <row r="39" spans="2:52" ht="15" x14ac:dyDescent="0.25">
      <c r="B39" s="1"/>
      <c r="C39" s="1"/>
      <c r="D39" s="12">
        <f>(D38-$C$38)/$C$38</f>
        <v>-0.43445765225865768</v>
      </c>
      <c r="E39" s="12">
        <f>(E38-$C$38)/$C$38</f>
        <v>-0.60402699015867645</v>
      </c>
      <c r="F39" s="12">
        <f>(F38-$C$38)/$C$38</f>
        <v>-0.61570144755384248</v>
      </c>
      <c r="G39" s="12">
        <f>(G38-$C$38)/$C$38</f>
        <v>-0.62701883439398398</v>
      </c>
      <c r="H39" s="12">
        <f>(H38-$C$38)/$C$38</f>
        <v>0.43657268986047532</v>
      </c>
      <c r="I39" s="9"/>
      <c r="J39" s="1" t="s">
        <v>1</v>
      </c>
      <c r="K39" s="11">
        <v>0.26005973923139997</v>
      </c>
      <c r="L39" s="11">
        <v>0.35709789600332231</v>
      </c>
      <c r="M39" s="11">
        <v>0.36496309258926762</v>
      </c>
      <c r="N39" s="11">
        <v>0.37277519182830038</v>
      </c>
      <c r="O39" s="11">
        <v>0.35042606584987518</v>
      </c>
      <c r="AE39" s="1" t="s">
        <v>32</v>
      </c>
      <c r="AF39" s="5">
        <v>207.11911528499999</v>
      </c>
      <c r="AG39" s="17">
        <f t="shared" si="7"/>
        <v>13.308148622282497</v>
      </c>
      <c r="AH39" s="5">
        <v>169.267337277</v>
      </c>
      <c r="AI39" s="17">
        <f t="shared" si="8"/>
        <v>19.676227036892634</v>
      </c>
      <c r="AJ39" s="5">
        <v>155.07460802</v>
      </c>
      <c r="AK39" s="17">
        <f t="shared" si="9"/>
        <v>26.05442870917166</v>
      </c>
      <c r="AL39" s="5">
        <v>153.960607095</v>
      </c>
      <c r="AM39" s="17">
        <f t="shared" si="10"/>
        <v>26.676051280667501</v>
      </c>
      <c r="AN39" s="5">
        <v>152.76367589500001</v>
      </c>
      <c r="AO39" s="17">
        <f t="shared" si="11"/>
        <v>27.294137423591728</v>
      </c>
      <c r="AP39" s="5">
        <v>234.88553497999999</v>
      </c>
      <c r="AQ39" s="17">
        <f t="shared" si="12"/>
        <v>10.29514802108365</v>
      </c>
      <c r="AR39" s="9"/>
      <c r="AS39" s="9"/>
      <c r="AT39" s="9"/>
      <c r="AU39" s="9"/>
      <c r="AV39" s="9"/>
      <c r="AW39" s="9"/>
      <c r="AX39" s="9"/>
      <c r="AY39" s="9"/>
      <c r="AZ39" s="9"/>
    </row>
    <row r="40" spans="2:52" ht="15" x14ac:dyDescent="0.25">
      <c r="B40" s="1" t="s">
        <v>18</v>
      </c>
      <c r="C40" s="4">
        <v>37.019222509999466</v>
      </c>
      <c r="D40" s="4">
        <v>27.392013157499832</v>
      </c>
      <c r="E40" s="4">
        <v>23.799736039999829</v>
      </c>
      <c r="F40" s="4">
        <v>23.50857257749983</v>
      </c>
      <c r="G40" s="4">
        <v>23.21937473749988</v>
      </c>
      <c r="H40" s="4">
        <v>49.991723014999721</v>
      </c>
      <c r="I40" s="9"/>
      <c r="J40" s="1" t="s">
        <v>2</v>
      </c>
      <c r="K40" s="11">
        <v>0.23548718241655442</v>
      </c>
      <c r="L40" s="11">
        <v>0.31300989109852551</v>
      </c>
      <c r="M40" s="11">
        <v>0.31924801871323766</v>
      </c>
      <c r="N40" s="11">
        <v>0.32545882609195803</v>
      </c>
      <c r="O40" s="11">
        <v>0.34914229627136795</v>
      </c>
    </row>
    <row r="41" spans="2:52" ht="15" x14ac:dyDescent="0.25">
      <c r="B41" s="1"/>
      <c r="C41" s="1"/>
      <c r="D41" s="12">
        <f>(D40-$C$40)/$C$40</f>
        <v>-0.26005973923139997</v>
      </c>
      <c r="E41" s="12">
        <f>(E40-$C$40)/$C$40</f>
        <v>-0.35709789600332231</v>
      </c>
      <c r="F41" s="12">
        <f>(F40-$C$40)/$C$40</f>
        <v>-0.36496309258926762</v>
      </c>
      <c r="G41" s="12">
        <f>(G40-$C$40)/$C$40</f>
        <v>-0.37277519182830038</v>
      </c>
      <c r="H41" s="12">
        <f>(H40-$C$40)/$C$40</f>
        <v>0.35042606584987518</v>
      </c>
      <c r="I41" s="9"/>
      <c r="J41" s="1" t="s">
        <v>3</v>
      </c>
      <c r="K41" s="11">
        <v>0.21851233936487738</v>
      </c>
      <c r="L41" s="11">
        <v>0.2831208128776817</v>
      </c>
      <c r="M41" s="11">
        <v>0.28823592135067838</v>
      </c>
      <c r="N41" s="11">
        <v>0.29330860356036509</v>
      </c>
      <c r="O41" s="11">
        <v>0.31573874811829705</v>
      </c>
    </row>
    <row r="42" spans="2:52" ht="15" x14ac:dyDescent="0.25">
      <c r="B42" s="1" t="s">
        <v>19</v>
      </c>
      <c r="C42" s="4">
        <v>51.084844232499584</v>
      </c>
      <c r="D42" s="4">
        <v>39.055018199999687</v>
      </c>
      <c r="E42" s="4">
        <v>35.094782702499749</v>
      </c>
      <c r="F42" s="4">
        <v>34.776108924999726</v>
      </c>
      <c r="G42" s="4">
        <v>34.458830797499736</v>
      </c>
      <c r="H42" s="4">
        <v>68.920724052499637</v>
      </c>
      <c r="I42" s="9"/>
      <c r="J42" s="1" t="s">
        <v>4</v>
      </c>
      <c r="K42" s="11">
        <v>0.22402172268183163</v>
      </c>
      <c r="L42" s="11">
        <v>0.28918135478231061</v>
      </c>
      <c r="M42" s="11">
        <v>0.2933825715798109</v>
      </c>
      <c r="N42" s="11">
        <v>0.29755693924692911</v>
      </c>
      <c r="O42" s="11">
        <v>0.24689402027290086</v>
      </c>
    </row>
    <row r="43" spans="2:52" ht="15" x14ac:dyDescent="0.25">
      <c r="B43" s="1"/>
      <c r="C43" s="1"/>
      <c r="D43" s="12">
        <f>(D42-$C$42)/$C$42</f>
        <v>-0.23548718241655442</v>
      </c>
      <c r="E43" s="12">
        <f>(E42-$C$42)/$C$42</f>
        <v>-0.31300989109852551</v>
      </c>
      <c r="F43" s="12">
        <f>(F42-$C$42)/$C$42</f>
        <v>-0.31924801871323766</v>
      </c>
      <c r="G43" s="12">
        <f>(G42-$C$42)/$C$42</f>
        <v>-0.32545882609195803</v>
      </c>
      <c r="H43" s="12">
        <f>(H42-$C$42)/$C$42</f>
        <v>0.34914229627136795</v>
      </c>
      <c r="I43" s="9"/>
      <c r="J43" s="1" t="s">
        <v>5</v>
      </c>
      <c r="K43" s="11">
        <v>0.21442343406862122</v>
      </c>
      <c r="L43" s="11">
        <v>0.28410816020738622</v>
      </c>
      <c r="M43" s="11">
        <v>0.28900705070627986</v>
      </c>
      <c r="N43" s="11">
        <v>0.2941724695781916</v>
      </c>
      <c r="O43" s="11">
        <v>0.17735490771126786</v>
      </c>
    </row>
    <row r="44" spans="2:52" ht="15" x14ac:dyDescent="0.25">
      <c r="B44" s="1" t="s">
        <v>20</v>
      </c>
      <c r="C44" s="4">
        <v>69.043436100000008</v>
      </c>
      <c r="D44" s="4">
        <v>53.95659335999958</v>
      </c>
      <c r="E44" s="4">
        <v>49.495802347499733</v>
      </c>
      <c r="F44" s="4">
        <v>49.142637682499817</v>
      </c>
      <c r="G44" s="4">
        <v>48.792402272499707</v>
      </c>
      <c r="H44" s="4">
        <v>90.843124179999649</v>
      </c>
      <c r="I44" s="9"/>
      <c r="J44" s="1" t="s">
        <v>6</v>
      </c>
      <c r="K44" s="11">
        <v>0.19952909836471872</v>
      </c>
      <c r="L44" s="11">
        <v>0.27379378041955205</v>
      </c>
      <c r="M44" s="11">
        <v>0.27956765771944508</v>
      </c>
      <c r="N44" s="11">
        <v>0.28474386021321951</v>
      </c>
      <c r="O44" s="11">
        <v>0.15531874355980674</v>
      </c>
    </row>
    <row r="45" spans="2:52" ht="15" x14ac:dyDescent="0.25">
      <c r="B45" s="1"/>
      <c r="C45" s="1"/>
      <c r="D45" s="12">
        <f>(D44-$C$44)/$C$44</f>
        <v>-0.21851233936487738</v>
      </c>
      <c r="E45" s="12">
        <f>(E44-$C$44)/$C$44</f>
        <v>-0.2831208128776817</v>
      </c>
      <c r="F45" s="12">
        <f>(F44-$C$44)/$C$44</f>
        <v>-0.28823592135067838</v>
      </c>
      <c r="G45" s="12">
        <f>(G44-$C$44)/$C$44</f>
        <v>-0.29330860356036509</v>
      </c>
      <c r="H45" s="12">
        <f>(H44-$C$44)/$C$44</f>
        <v>0.31573874811829705</v>
      </c>
      <c r="I45" s="9"/>
      <c r="J45" s="1" t="s">
        <v>7</v>
      </c>
      <c r="K45" s="11">
        <v>0.18275366788775244</v>
      </c>
      <c r="L45" s="11">
        <v>0.25127814587941688</v>
      </c>
      <c r="M45" s="11">
        <v>0.25665669784680584</v>
      </c>
      <c r="N45" s="11">
        <v>0.26243564875799041</v>
      </c>
      <c r="O45" s="11">
        <v>0.13406015015462408</v>
      </c>
    </row>
    <row r="46" spans="2:52" ht="15" x14ac:dyDescent="0.25">
      <c r="B46" s="1" t="s">
        <v>29</v>
      </c>
      <c r="C46" s="5">
        <v>97.464348482000005</v>
      </c>
      <c r="D46" s="5">
        <v>75.630217235000003</v>
      </c>
      <c r="E46" s="5">
        <v>69.279476145000004</v>
      </c>
      <c r="F46" s="5">
        <v>68.870007287000007</v>
      </c>
      <c r="G46" s="5">
        <v>68.463155262000001</v>
      </c>
      <c r="H46" s="5">
        <v>121.52771331199999</v>
      </c>
      <c r="I46" s="9"/>
    </row>
    <row r="47" spans="2:52" ht="15" x14ac:dyDescent="0.25">
      <c r="B47" s="1"/>
      <c r="C47" s="5"/>
      <c r="D47" s="12">
        <f>(D46-$C$46)/$C$46</f>
        <v>-0.22402172268183163</v>
      </c>
      <c r="E47" s="12">
        <f>(E46-$C$46)/$C$46</f>
        <v>-0.28918135478231061</v>
      </c>
      <c r="F47" s="12">
        <f>(F46-$C$46)/$C$46</f>
        <v>-0.2933825715798109</v>
      </c>
      <c r="G47" s="12">
        <f>(G46-$C$46)/$C$46</f>
        <v>-0.29755693924692911</v>
      </c>
      <c r="H47" s="12">
        <f>(H46-$C$46)/$C$46</f>
        <v>0.24689402027290086</v>
      </c>
      <c r="I47" s="9"/>
    </row>
    <row r="48" spans="2:52" ht="15" x14ac:dyDescent="0.25">
      <c r="B48" s="1" t="s">
        <v>30</v>
      </c>
      <c r="C48" s="5">
        <v>148.28103121799998</v>
      </c>
      <c r="D48" s="5">
        <v>116.486103297</v>
      </c>
      <c r="E48" s="5">
        <v>106.153180245</v>
      </c>
      <c r="F48" s="5">
        <v>105.42676770999999</v>
      </c>
      <c r="G48" s="5">
        <v>104.660834073</v>
      </c>
      <c r="H48" s="5">
        <v>174.579399825</v>
      </c>
      <c r="I48" s="9"/>
      <c r="J48" s="6" t="s">
        <v>21</v>
      </c>
      <c r="K48" s="7"/>
      <c r="L48" s="7"/>
      <c r="M48" s="7"/>
      <c r="N48" s="7"/>
    </row>
    <row r="49" spans="2:15" ht="15" x14ac:dyDescent="0.25">
      <c r="B49" s="1"/>
      <c r="C49" s="5"/>
      <c r="D49" s="12">
        <f>(D48-$C$48)/$C$48</f>
        <v>-0.21442343406862122</v>
      </c>
      <c r="E49" s="12">
        <f>(E48-$C$48)/$C$48</f>
        <v>-0.28410816020738622</v>
      </c>
      <c r="F49" s="12">
        <f>(F48-$C$48)/$C$48</f>
        <v>-0.28900705070627986</v>
      </c>
      <c r="G49" s="12">
        <f>(G48-$C$48)/$C$48</f>
        <v>-0.2941724695781916</v>
      </c>
      <c r="H49" s="12">
        <f>(H48-$C$48)/$C$48</f>
        <v>0.17735490771126786</v>
      </c>
      <c r="I49" s="9"/>
      <c r="J49" s="9"/>
      <c r="K49" s="25" t="s">
        <v>79</v>
      </c>
      <c r="L49" s="25" t="s">
        <v>80</v>
      </c>
      <c r="M49" s="25" t="s">
        <v>82</v>
      </c>
      <c r="N49" s="25" t="s">
        <v>82</v>
      </c>
      <c r="O49" s="25" t="s">
        <v>83</v>
      </c>
    </row>
    <row r="50" spans="2:15" ht="15" x14ac:dyDescent="0.25">
      <c r="B50" s="1" t="s">
        <v>31</v>
      </c>
      <c r="C50" s="5">
        <v>173.029197385</v>
      </c>
      <c r="D50" s="5">
        <v>138.50483764000001</v>
      </c>
      <c r="E50" s="5">
        <v>125.65487930999998</v>
      </c>
      <c r="F50" s="5">
        <v>124.65582995500002</v>
      </c>
      <c r="G50" s="5">
        <v>123.76019579199999</v>
      </c>
      <c r="H50" s="5">
        <v>199.903874922</v>
      </c>
      <c r="I50" s="9"/>
      <c r="J50" s="1" t="s">
        <v>0</v>
      </c>
      <c r="K50" s="11">
        <f>K38*-1</f>
        <v>-0.43445765225865768</v>
      </c>
      <c r="L50" s="11">
        <f>L38*-1</f>
        <v>-0.60402699015867645</v>
      </c>
      <c r="M50" s="11">
        <f>M38*-1</f>
        <v>-0.61570144755384248</v>
      </c>
      <c r="N50" s="11">
        <f>N38*-1</f>
        <v>-0.62701883439398398</v>
      </c>
      <c r="O50" s="11">
        <v>0.43657268986047532</v>
      </c>
    </row>
    <row r="51" spans="2:15" ht="15" x14ac:dyDescent="0.25">
      <c r="B51" s="1"/>
      <c r="C51" s="5"/>
      <c r="D51" s="12">
        <f>(D50-$C$50)/$C$50</f>
        <v>-0.19952909836471872</v>
      </c>
      <c r="E51" s="12">
        <f>(E50-$C$50)/$C$50</f>
        <v>-0.27379378041955205</v>
      </c>
      <c r="F51" s="12">
        <f>(F50-$C$50)/$C$50</f>
        <v>-0.27956765771944508</v>
      </c>
      <c r="G51" s="12">
        <f>(G50-$C$50)/$C$50</f>
        <v>-0.28474386021321951</v>
      </c>
      <c r="H51" s="12">
        <f>(H50-$C$50)/$C$50</f>
        <v>0.15531874355980674</v>
      </c>
      <c r="I51" s="9"/>
      <c r="J51" s="1" t="s">
        <v>1</v>
      </c>
      <c r="K51" s="11">
        <f t="shared" ref="K51:N57" si="13">K39*-1</f>
        <v>-0.26005973923139997</v>
      </c>
      <c r="L51" s="11">
        <f t="shared" si="13"/>
        <v>-0.35709789600332231</v>
      </c>
      <c r="M51" s="11">
        <f t="shared" si="13"/>
        <v>-0.36496309258926762</v>
      </c>
      <c r="N51" s="11">
        <f t="shared" si="13"/>
        <v>-0.37277519182830038</v>
      </c>
      <c r="O51" s="11">
        <v>0.35042606584987518</v>
      </c>
    </row>
    <row r="52" spans="2:15" ht="15" x14ac:dyDescent="0.25">
      <c r="B52" s="1" t="s">
        <v>32</v>
      </c>
      <c r="C52" s="5">
        <v>207.11911528499999</v>
      </c>
      <c r="D52" s="5">
        <v>169.267337277</v>
      </c>
      <c r="E52" s="5">
        <v>155.07460802</v>
      </c>
      <c r="F52" s="5">
        <v>153.960607095</v>
      </c>
      <c r="G52" s="5">
        <v>152.76367589500001</v>
      </c>
      <c r="H52" s="5">
        <v>234.88553497999999</v>
      </c>
      <c r="I52" s="9"/>
      <c r="J52" s="1" t="s">
        <v>2</v>
      </c>
      <c r="K52" s="11">
        <f t="shared" si="13"/>
        <v>-0.23548718241655442</v>
      </c>
      <c r="L52" s="11">
        <f t="shared" si="13"/>
        <v>-0.31300989109852551</v>
      </c>
      <c r="M52" s="11">
        <f t="shared" si="13"/>
        <v>-0.31924801871323766</v>
      </c>
      <c r="N52" s="11">
        <f t="shared" si="13"/>
        <v>-0.32545882609195803</v>
      </c>
      <c r="O52" s="11">
        <v>0.34914229627136795</v>
      </c>
    </row>
    <row r="53" spans="2:15" ht="15" x14ac:dyDescent="0.25">
      <c r="B53" s="9"/>
      <c r="C53" s="8"/>
      <c r="D53" s="12">
        <f>(D52-$C$52)/$C$52</f>
        <v>-0.18275366788775244</v>
      </c>
      <c r="E53" s="12">
        <f>(E52-$C$52)/$C$52</f>
        <v>-0.25127814587941688</v>
      </c>
      <c r="F53" s="12">
        <f>(F52-$C$52)/$C$52</f>
        <v>-0.25665669784680584</v>
      </c>
      <c r="G53" s="12">
        <f>(G52-$C$52)/$C$52</f>
        <v>-0.26243564875799041</v>
      </c>
      <c r="H53" s="12">
        <f>(H52-$C$52)/$C$52</f>
        <v>0.13406015015462408</v>
      </c>
      <c r="I53" s="9"/>
      <c r="J53" s="1" t="s">
        <v>3</v>
      </c>
      <c r="K53" s="11">
        <f t="shared" si="13"/>
        <v>-0.21851233936487738</v>
      </c>
      <c r="L53" s="11">
        <f t="shared" si="13"/>
        <v>-0.2831208128776817</v>
      </c>
      <c r="M53" s="11">
        <f t="shared" si="13"/>
        <v>-0.28823592135067838</v>
      </c>
      <c r="N53" s="11">
        <f t="shared" si="13"/>
        <v>-0.29330860356036509</v>
      </c>
      <c r="O53" s="11">
        <v>0.31573874811829705</v>
      </c>
    </row>
    <row r="54" spans="2:15" ht="15" x14ac:dyDescent="0.25">
      <c r="I54" s="9"/>
      <c r="J54" s="1" t="s">
        <v>4</v>
      </c>
      <c r="K54" s="11">
        <f t="shared" si="13"/>
        <v>-0.22402172268183163</v>
      </c>
      <c r="L54" s="11">
        <f t="shared" si="13"/>
        <v>-0.28918135478231061</v>
      </c>
      <c r="M54" s="11">
        <f t="shared" si="13"/>
        <v>-0.2933825715798109</v>
      </c>
      <c r="N54" s="11">
        <f t="shared" si="13"/>
        <v>-0.29755693924692911</v>
      </c>
      <c r="O54" s="11">
        <v>0.24689402027290086</v>
      </c>
    </row>
    <row r="55" spans="2:15" ht="15" x14ac:dyDescent="0.25">
      <c r="B55" s="9"/>
      <c r="C55" s="9"/>
      <c r="D55" s="9"/>
      <c r="E55" s="9"/>
      <c r="F55" s="9"/>
      <c r="G55" s="9"/>
      <c r="H55" s="9"/>
      <c r="I55" s="9"/>
      <c r="J55" s="1" t="s">
        <v>5</v>
      </c>
      <c r="K55" s="11">
        <f t="shared" si="13"/>
        <v>-0.21442343406862122</v>
      </c>
      <c r="L55" s="11">
        <f t="shared" si="13"/>
        <v>-0.28410816020738622</v>
      </c>
      <c r="M55" s="11">
        <f t="shared" si="13"/>
        <v>-0.28900705070627986</v>
      </c>
      <c r="N55" s="11">
        <f t="shared" si="13"/>
        <v>-0.2941724695781916</v>
      </c>
      <c r="O55" s="11">
        <v>0.17735490771126786</v>
      </c>
    </row>
    <row r="56" spans="2:15" ht="15" x14ac:dyDescent="0.25">
      <c r="J56" s="1" t="s">
        <v>6</v>
      </c>
      <c r="K56" s="11">
        <f t="shared" si="13"/>
        <v>-0.19952909836471872</v>
      </c>
      <c r="L56" s="11">
        <f t="shared" si="13"/>
        <v>-0.27379378041955205</v>
      </c>
      <c r="M56" s="11">
        <f t="shared" si="13"/>
        <v>-0.27956765771944508</v>
      </c>
      <c r="N56" s="11">
        <f t="shared" si="13"/>
        <v>-0.28474386021321951</v>
      </c>
      <c r="O56" s="11">
        <v>0.15531874355980674</v>
      </c>
    </row>
    <row r="57" spans="2:15" ht="15" x14ac:dyDescent="0.25">
      <c r="J57" s="1" t="s">
        <v>7</v>
      </c>
      <c r="K57" s="11">
        <f t="shared" si="13"/>
        <v>-0.18275366788775244</v>
      </c>
      <c r="L57" s="11">
        <f t="shared" si="13"/>
        <v>-0.25127814587941688</v>
      </c>
      <c r="M57" s="11">
        <f t="shared" si="13"/>
        <v>-0.25665669784680584</v>
      </c>
      <c r="N57" s="11">
        <f t="shared" si="13"/>
        <v>-0.26243564875799041</v>
      </c>
      <c r="O57" s="11">
        <v>0.13406015015462408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58E1-F7A6-403C-B4A1-848BCD38B7FB}">
  <dimension ref="E5:Z71"/>
  <sheetViews>
    <sheetView tabSelected="1" zoomScale="55" zoomScaleNormal="55" workbookViewId="0">
      <selection activeCell="Q30" sqref="Q30"/>
    </sheetView>
  </sheetViews>
  <sheetFormatPr defaultRowHeight="15" x14ac:dyDescent="0.25"/>
  <cols>
    <col min="1" max="16384" width="9" style="9"/>
  </cols>
  <sheetData>
    <row r="5" spans="5:11" x14ac:dyDescent="0.25">
      <c r="E5" s="9" t="s">
        <v>62</v>
      </c>
    </row>
    <row r="7" spans="5:11" x14ac:dyDescent="0.25">
      <c r="E7" s="19" t="s">
        <v>76</v>
      </c>
      <c r="F7" s="19" t="s">
        <v>70</v>
      </c>
      <c r="G7" s="19" t="s">
        <v>71</v>
      </c>
      <c r="H7" s="19" t="s">
        <v>72</v>
      </c>
      <c r="I7" s="19" t="s">
        <v>73</v>
      </c>
      <c r="J7" s="19" t="s">
        <v>74</v>
      </c>
      <c r="K7" s="19" t="s">
        <v>75</v>
      </c>
    </row>
    <row r="8" spans="5:11" x14ac:dyDescent="0.25">
      <c r="E8" s="19" t="s">
        <v>54</v>
      </c>
      <c r="F8" s="20">
        <v>3.8641764122220743E-2</v>
      </c>
      <c r="G8" s="20">
        <v>3.2773147277776513E-2</v>
      </c>
      <c r="H8" s="20">
        <v>2.3833553355554375E-2</v>
      </c>
      <c r="I8" s="20">
        <v>2.3157344299998682E-2</v>
      </c>
      <c r="J8" s="20">
        <v>2.2498343466665325E-2</v>
      </c>
      <c r="K8" s="20">
        <v>3.1547666119045803E-2</v>
      </c>
    </row>
    <row r="9" spans="5:11" x14ac:dyDescent="0.25">
      <c r="E9" s="19" t="s">
        <v>55</v>
      </c>
      <c r="F9" s="20">
        <v>6.4569858285712545E-2</v>
      </c>
      <c r="G9" s="20">
        <v>8.4423029722221279E-2</v>
      </c>
      <c r="H9" s="20">
        <v>8.3737998588888043E-2</v>
      </c>
      <c r="I9" s="20">
        <v>8.3412958655554897E-2</v>
      </c>
      <c r="J9" s="20">
        <v>8.3055029022221838E-2</v>
      </c>
      <c r="K9" s="20">
        <v>4.924922304166645E-2</v>
      </c>
    </row>
    <row r="10" spans="5:11" x14ac:dyDescent="0.25">
      <c r="E10" s="19" t="s">
        <v>56</v>
      </c>
      <c r="F10" s="20">
        <v>6.0978227261902433E-2</v>
      </c>
      <c r="G10" s="20">
        <v>9.9482017777776557E-2</v>
      </c>
      <c r="H10" s="20">
        <v>0.10749776115555426</v>
      </c>
      <c r="I10" s="20">
        <v>0.10782739531111016</v>
      </c>
      <c r="J10" s="20">
        <v>0.10805691159999914</v>
      </c>
      <c r="K10" s="20">
        <v>7.6669238714285104E-2</v>
      </c>
    </row>
    <row r="11" spans="5:11" x14ac:dyDescent="0.25">
      <c r="E11" s="19" t="s">
        <v>57</v>
      </c>
      <c r="F11" s="20">
        <v>6.0309230666666665E-2</v>
      </c>
      <c r="G11" s="20">
        <v>0.10336318752222076</v>
      </c>
      <c r="H11" s="20">
        <v>0.12244811417777698</v>
      </c>
      <c r="I11" s="20">
        <v>0.12366840343333381</v>
      </c>
      <c r="J11" s="20">
        <v>0.1248410323555543</v>
      </c>
      <c r="K11" s="20">
        <v>0.111521619770834</v>
      </c>
    </row>
    <row r="12" spans="5:11" x14ac:dyDescent="0.25">
      <c r="E12" s="19" t="s">
        <v>58</v>
      </c>
      <c r="F12" s="20">
        <v>0.12124174995555556</v>
      </c>
      <c r="G12" s="20">
        <v>0.1258528916809524</v>
      </c>
      <c r="H12" s="20">
        <v>0.1318936545777778</v>
      </c>
      <c r="I12" s="20">
        <v>0.13345332372000002</v>
      </c>
      <c r="J12" s="20">
        <v>0.13508697712000001</v>
      </c>
      <c r="K12" s="20">
        <v>0.15752900486666654</v>
      </c>
    </row>
    <row r="13" spans="5:11" x14ac:dyDescent="0.25">
      <c r="E13" s="19" t="s">
        <v>59</v>
      </c>
      <c r="F13" s="20">
        <v>0.23463937487878778</v>
      </c>
      <c r="G13" s="20">
        <v>0.21358575429230769</v>
      </c>
      <c r="H13" s="20">
        <v>0.20698906823809521</v>
      </c>
      <c r="I13" s="20">
        <v>0.20787830548571426</v>
      </c>
      <c r="J13" s="20">
        <v>0.20852095819047617</v>
      </c>
      <c r="K13" s="20">
        <v>0.23157244133333335</v>
      </c>
    </row>
    <row r="14" spans="5:11" x14ac:dyDescent="0.25">
      <c r="E14" s="19" t="s">
        <v>60</v>
      </c>
      <c r="F14" s="20">
        <v>0.27961061749696975</v>
      </c>
      <c r="G14" s="20">
        <v>0.2595865232666667</v>
      </c>
      <c r="H14" s="20">
        <v>0.26404676964102552</v>
      </c>
      <c r="I14" s="20">
        <v>0.26417952423076935</v>
      </c>
      <c r="J14" s="20">
        <v>0.26507628889230767</v>
      </c>
      <c r="K14" s="20">
        <v>0.27689977727999993</v>
      </c>
    </row>
    <row r="15" spans="5:11" x14ac:dyDescent="0.25">
      <c r="E15" s="19" t="s">
        <v>61</v>
      </c>
      <c r="F15" s="20">
        <v>0.33965921849696962</v>
      </c>
      <c r="G15" s="20">
        <v>0.32278060844615386</v>
      </c>
      <c r="H15" s="20">
        <v>0.32985622453846153</v>
      </c>
      <c r="I15" s="20">
        <v>0.33024944880512819</v>
      </c>
      <c r="J15" s="20">
        <v>0.33043182323076925</v>
      </c>
      <c r="K15" s="20">
        <v>0.34016335656666663</v>
      </c>
    </row>
    <row r="18" spans="5:25" x14ac:dyDescent="0.25">
      <c r="N18" s="21" t="s">
        <v>77</v>
      </c>
    </row>
    <row r="20" spans="5:25" x14ac:dyDescent="0.25">
      <c r="N20" s="19" t="s">
        <v>63</v>
      </c>
      <c r="O20" s="19" t="s">
        <v>64</v>
      </c>
      <c r="P20" s="19" t="s">
        <v>65</v>
      </c>
      <c r="Q20" s="19"/>
      <c r="R20" s="19" t="s">
        <v>66</v>
      </c>
      <c r="S20" s="19"/>
      <c r="T20" s="19" t="s">
        <v>67</v>
      </c>
      <c r="U20" s="19"/>
      <c r="V20" s="19" t="s">
        <v>68</v>
      </c>
      <c r="W20" s="19"/>
      <c r="X20" s="19" t="s">
        <v>69</v>
      </c>
    </row>
    <row r="21" spans="5:25" x14ac:dyDescent="0.25">
      <c r="N21" s="22" t="s">
        <v>54</v>
      </c>
      <c r="O21" s="23">
        <v>3.8641764122220743E-2</v>
      </c>
      <c r="P21" s="23">
        <v>3.2773147277776513E-2</v>
      </c>
      <c r="Q21" s="24">
        <f>(P21-$O21)/$O21</f>
        <v>-0.15187238413552431</v>
      </c>
      <c r="R21" s="23">
        <v>2.3833553355554375E-2</v>
      </c>
      <c r="S21" s="24">
        <f>(R21-$O21)/$O21</f>
        <v>-0.38321777235193527</v>
      </c>
      <c r="T21" s="23">
        <v>2.3157344299998682E-2</v>
      </c>
      <c r="U21" s="24">
        <f t="shared" ref="U21:U28" si="0">(T21-$O21)/$O21</f>
        <v>-0.4007172077663459</v>
      </c>
      <c r="V21" s="23">
        <v>2.2498343466665325E-2</v>
      </c>
      <c r="W21" s="24">
        <f t="shared" ref="W21:W28" si="1">(V21-$O21)/$O21</f>
        <v>-0.41777131614630991</v>
      </c>
      <c r="X21" s="23">
        <v>3.1547666119045803E-2</v>
      </c>
      <c r="Y21" s="24">
        <f t="shared" ref="Y21:Y28" si="2">(X21-$O21)/$O21</f>
        <v>-0.18358628712542438</v>
      </c>
    </row>
    <row r="22" spans="5:25" x14ac:dyDescent="0.25">
      <c r="N22" s="19" t="s">
        <v>55</v>
      </c>
      <c r="O22" s="20">
        <v>6.4569858285712545E-2</v>
      </c>
      <c r="P22" s="20">
        <v>8.4423029722221279E-2</v>
      </c>
      <c r="Q22" s="18">
        <f t="shared" ref="Q22:S28" si="3">(P22-$O22)/$O22</f>
        <v>0.30746809678071835</v>
      </c>
      <c r="R22" s="20">
        <v>8.3737998588888043E-2</v>
      </c>
      <c r="S22" s="18">
        <f t="shared" si="3"/>
        <v>0.29685894954824238</v>
      </c>
      <c r="T22" s="20">
        <v>8.3412958655554897E-2</v>
      </c>
      <c r="U22" s="18">
        <f t="shared" si="0"/>
        <v>0.29182502285298945</v>
      </c>
      <c r="V22" s="20">
        <v>8.3055029022221838E-2</v>
      </c>
      <c r="W22" s="18">
        <f t="shared" si="1"/>
        <v>0.28628173000961238</v>
      </c>
      <c r="X22" s="20">
        <v>4.924922304166645E-2</v>
      </c>
      <c r="Y22" s="18">
        <f t="shared" si="2"/>
        <v>-0.23727224514346057</v>
      </c>
    </row>
    <row r="23" spans="5:25" x14ac:dyDescent="0.25">
      <c r="N23" s="19" t="s">
        <v>56</v>
      </c>
      <c r="O23" s="20">
        <v>6.0978227261902433E-2</v>
      </c>
      <c r="P23" s="20">
        <v>9.9482017777776557E-2</v>
      </c>
      <c r="Q23" s="18">
        <f t="shared" si="3"/>
        <v>0.63143505878745454</v>
      </c>
      <c r="R23" s="20">
        <v>0.10749776115555426</v>
      </c>
      <c r="S23" s="18">
        <f t="shared" si="3"/>
        <v>0.76288760730694427</v>
      </c>
      <c r="T23" s="20">
        <v>0.10782739531111016</v>
      </c>
      <c r="U23" s="18">
        <f t="shared" si="0"/>
        <v>0.76829337540413922</v>
      </c>
      <c r="V23" s="20">
        <v>0.10805691159999914</v>
      </c>
      <c r="W23" s="18">
        <f t="shared" si="1"/>
        <v>0.77205728096838611</v>
      </c>
      <c r="X23" s="20">
        <v>7.6669238714285104E-2</v>
      </c>
      <c r="Y23" s="18">
        <f t="shared" si="2"/>
        <v>0.25732154175275601</v>
      </c>
    </row>
    <row r="24" spans="5:25" x14ac:dyDescent="0.25">
      <c r="N24" s="19" t="s">
        <v>57</v>
      </c>
      <c r="O24" s="20">
        <v>6.0309230666666665E-2</v>
      </c>
      <c r="P24" s="20">
        <v>0.10336318752222076</v>
      </c>
      <c r="Q24" s="18">
        <f t="shared" si="3"/>
        <v>0.71388668665857014</v>
      </c>
      <c r="R24" s="20">
        <v>0.12244811417777698</v>
      </c>
      <c r="S24" s="18">
        <f t="shared" si="3"/>
        <v>1.0303378574758526</v>
      </c>
      <c r="T24" s="20">
        <v>0.12366840343333381</v>
      </c>
      <c r="U24" s="18">
        <f t="shared" si="0"/>
        <v>1.0505717295061798</v>
      </c>
      <c r="V24" s="20">
        <v>0.1248410323555543</v>
      </c>
      <c r="W24" s="18">
        <f t="shared" si="1"/>
        <v>1.0700153355555042</v>
      </c>
      <c r="X24" s="20">
        <v>0.111521619770834</v>
      </c>
      <c r="Y24" s="18">
        <f t="shared" si="2"/>
        <v>0.84916336252441671</v>
      </c>
    </row>
    <row r="25" spans="5:25" x14ac:dyDescent="0.25">
      <c r="E25" s="19" t="s">
        <v>76</v>
      </c>
      <c r="F25" s="19" t="s">
        <v>54</v>
      </c>
      <c r="G25" s="19" t="s">
        <v>55</v>
      </c>
      <c r="H25" s="19" t="s">
        <v>56</v>
      </c>
      <c r="I25" s="19" t="s">
        <v>57</v>
      </c>
      <c r="J25" s="19" t="s">
        <v>58</v>
      </c>
      <c r="K25" s="19" t="s">
        <v>59</v>
      </c>
      <c r="L25" s="19" t="s">
        <v>60</v>
      </c>
      <c r="M25" s="19" t="s">
        <v>61</v>
      </c>
      <c r="N25" s="19" t="s">
        <v>58</v>
      </c>
      <c r="O25" s="20">
        <v>0.12124174995555556</v>
      </c>
      <c r="P25" s="20">
        <v>0.1258528916809524</v>
      </c>
      <c r="Q25" s="18">
        <f t="shared" si="3"/>
        <v>3.8032622649270383E-2</v>
      </c>
      <c r="R25" s="20">
        <v>0.1318936545777778</v>
      </c>
      <c r="S25" s="18">
        <f t="shared" si="3"/>
        <v>8.7856737684229885E-2</v>
      </c>
      <c r="T25" s="20">
        <v>0.13345332372000002</v>
      </c>
      <c r="U25" s="18">
        <f t="shared" si="0"/>
        <v>0.10072086363749234</v>
      </c>
      <c r="V25" s="20">
        <v>0.13508697712000001</v>
      </c>
      <c r="W25" s="18">
        <f t="shared" si="1"/>
        <v>0.11419521055675778</v>
      </c>
      <c r="X25" s="20">
        <v>0.15752900486666654</v>
      </c>
      <c r="Y25" s="18">
        <f t="shared" si="2"/>
        <v>0.29929669379081925</v>
      </c>
    </row>
    <row r="26" spans="5:25" x14ac:dyDescent="0.25">
      <c r="E26" s="19" t="s">
        <v>70</v>
      </c>
      <c r="F26" s="20">
        <v>3.8641764122220743E-2</v>
      </c>
      <c r="G26" s="20">
        <v>6.4569858285712545E-2</v>
      </c>
      <c r="H26" s="20">
        <v>6.0978227261902433E-2</v>
      </c>
      <c r="I26" s="20">
        <v>6.0309230666666665E-2</v>
      </c>
      <c r="J26" s="20">
        <v>0.12124174995555556</v>
      </c>
      <c r="K26" s="20">
        <v>0.23463937487878778</v>
      </c>
      <c r="L26" s="20">
        <v>0.27961061749696975</v>
      </c>
      <c r="M26" s="20">
        <v>0.33965921849696962</v>
      </c>
      <c r="N26" s="22" t="s">
        <v>59</v>
      </c>
      <c r="O26" s="23">
        <v>0.23463937487878778</v>
      </c>
      <c r="P26" s="23">
        <v>0.21358575429230769</v>
      </c>
      <c r="Q26" s="24">
        <f t="shared" si="3"/>
        <v>-8.9727568518097864E-2</v>
      </c>
      <c r="R26" s="23">
        <v>0.20698906823809521</v>
      </c>
      <c r="S26" s="24">
        <f t="shared" si="3"/>
        <v>-0.11784171627194466</v>
      </c>
      <c r="T26" s="23">
        <v>0.20787830548571426</v>
      </c>
      <c r="U26" s="24">
        <f t="shared" si="0"/>
        <v>-0.1140519122457516</v>
      </c>
      <c r="V26" s="23">
        <v>0.20852095819047617</v>
      </c>
      <c r="W26" s="24">
        <f t="shared" si="1"/>
        <v>-0.1113130168446967</v>
      </c>
      <c r="X26" s="23">
        <v>0.23157244133333335</v>
      </c>
      <c r="Y26" s="24">
        <f t="shared" si="2"/>
        <v>-1.3070839227383601E-2</v>
      </c>
    </row>
    <row r="27" spans="5:25" x14ac:dyDescent="0.25">
      <c r="E27" s="19" t="s">
        <v>71</v>
      </c>
      <c r="F27" s="20">
        <v>3.2773147277776513E-2</v>
      </c>
      <c r="G27" s="20">
        <v>8.4423029722221279E-2</v>
      </c>
      <c r="H27" s="20">
        <v>9.9482017777776557E-2</v>
      </c>
      <c r="I27" s="20">
        <v>0.10336318752222076</v>
      </c>
      <c r="J27" s="20">
        <v>0.1258528916809524</v>
      </c>
      <c r="K27" s="20">
        <v>0.21358575429230769</v>
      </c>
      <c r="L27" s="20">
        <v>0.2595865232666667</v>
      </c>
      <c r="M27" s="20">
        <v>0.32278060844615386</v>
      </c>
      <c r="N27" s="22" t="s">
        <v>60</v>
      </c>
      <c r="O27" s="23">
        <v>0.27961061749696975</v>
      </c>
      <c r="P27" s="23">
        <v>0.2595865232666667</v>
      </c>
      <c r="Q27" s="24">
        <f t="shared" si="3"/>
        <v>-7.1614212684609713E-2</v>
      </c>
      <c r="R27" s="23">
        <v>0.26404676964102552</v>
      </c>
      <c r="S27" s="24">
        <f t="shared" si="3"/>
        <v>-5.5662578178430205E-2</v>
      </c>
      <c r="T27" s="23">
        <v>0.26417952423076935</v>
      </c>
      <c r="U27" s="24">
        <f t="shared" si="0"/>
        <v>-5.5187794384695121E-2</v>
      </c>
      <c r="V27" s="23">
        <v>0.26507628889230767</v>
      </c>
      <c r="W27" s="24">
        <f t="shared" si="1"/>
        <v>-5.1980603364675873E-2</v>
      </c>
      <c r="X27" s="23">
        <v>0.27689977727999993</v>
      </c>
      <c r="Y27" s="24">
        <f t="shared" si="2"/>
        <v>-9.6950546486282898E-3</v>
      </c>
    </row>
    <row r="28" spans="5:25" x14ac:dyDescent="0.25">
      <c r="E28" s="19" t="s">
        <v>72</v>
      </c>
      <c r="F28" s="20">
        <v>2.3833553355554375E-2</v>
      </c>
      <c r="G28" s="20">
        <v>8.3737998588888043E-2</v>
      </c>
      <c r="H28" s="20">
        <v>0.10749776115555426</v>
      </c>
      <c r="I28" s="20">
        <v>0.12244811417777698</v>
      </c>
      <c r="J28" s="20">
        <v>0.1318936545777778</v>
      </c>
      <c r="K28" s="20">
        <v>0.20698906823809521</v>
      </c>
      <c r="L28" s="20">
        <v>0.26404676964102552</v>
      </c>
      <c r="M28" s="20">
        <v>0.32985622453846153</v>
      </c>
      <c r="N28" s="22" t="s">
        <v>61</v>
      </c>
      <c r="O28" s="23">
        <v>0.33965921849696962</v>
      </c>
      <c r="P28" s="23">
        <v>0.32278060844615386</v>
      </c>
      <c r="Q28" s="24">
        <f t="shared" si="3"/>
        <v>-4.969277773618367E-2</v>
      </c>
      <c r="R28" s="23">
        <v>0.32985622453846153</v>
      </c>
      <c r="S28" s="24">
        <f t="shared" si="3"/>
        <v>-2.8861262773574769E-2</v>
      </c>
      <c r="T28" s="23">
        <v>0.33024944880512819</v>
      </c>
      <c r="U28" s="24">
        <f t="shared" si="0"/>
        <v>-2.770356044944319E-2</v>
      </c>
      <c r="V28" s="23">
        <v>0.33043182323076925</v>
      </c>
      <c r="W28" s="24">
        <f t="shared" si="1"/>
        <v>-2.7166626912211105E-2</v>
      </c>
      <c r="X28" s="23">
        <v>0.34016335656666663</v>
      </c>
      <c r="Y28" s="24">
        <f t="shared" si="2"/>
        <v>1.4842466868053253E-3</v>
      </c>
    </row>
    <row r="29" spans="5:25" x14ac:dyDescent="0.25">
      <c r="E29" s="19" t="s">
        <v>73</v>
      </c>
      <c r="F29" s="20">
        <v>2.3157344299998682E-2</v>
      </c>
      <c r="G29" s="20">
        <v>8.3412958655554897E-2</v>
      </c>
      <c r="H29" s="20">
        <v>0.10782739531111016</v>
      </c>
      <c r="I29" s="20">
        <v>0.12366840343333381</v>
      </c>
      <c r="J29" s="20">
        <v>0.13345332372000002</v>
      </c>
      <c r="K29" s="20">
        <v>0.20787830548571426</v>
      </c>
      <c r="L29" s="20">
        <v>0.26417952423076935</v>
      </c>
      <c r="M29" s="20">
        <v>0.33024944880512819</v>
      </c>
    </row>
    <row r="30" spans="5:25" x14ac:dyDescent="0.25">
      <c r="E30" s="19" t="s">
        <v>74</v>
      </c>
      <c r="F30" s="20">
        <v>2.2498343466665325E-2</v>
      </c>
      <c r="G30" s="20">
        <v>8.3055029022221838E-2</v>
      </c>
      <c r="H30" s="20">
        <v>0.10805691159999914</v>
      </c>
      <c r="I30" s="20">
        <v>0.1248410323555543</v>
      </c>
      <c r="J30" s="20">
        <v>0.13508697712000001</v>
      </c>
      <c r="K30" s="20">
        <v>0.20852095819047617</v>
      </c>
      <c r="L30" s="20">
        <v>0.26507628889230767</v>
      </c>
      <c r="M30" s="20">
        <v>0.33043182323076925</v>
      </c>
    </row>
    <row r="31" spans="5:25" x14ac:dyDescent="0.25">
      <c r="E31" s="19" t="s">
        <v>75</v>
      </c>
      <c r="F31" s="20">
        <v>3.1547666119045803E-2</v>
      </c>
      <c r="G31" s="20">
        <v>4.924922304166645E-2</v>
      </c>
      <c r="H31" s="20">
        <v>7.6669238714285104E-2</v>
      </c>
      <c r="I31" s="20">
        <v>0.111521619770834</v>
      </c>
      <c r="J31" s="20">
        <v>0.15752900486666654</v>
      </c>
      <c r="K31" s="20">
        <v>0.23157244133333335</v>
      </c>
      <c r="L31" s="20">
        <v>0.27689977727999993</v>
      </c>
      <c r="M31" s="20">
        <v>0.34016335656666663</v>
      </c>
    </row>
    <row r="34" spans="14:20" x14ac:dyDescent="0.25">
      <c r="P34" s="19" t="s">
        <v>71</v>
      </c>
      <c r="Q34" s="19" t="s">
        <v>72</v>
      </c>
      <c r="R34" s="19" t="s">
        <v>73</v>
      </c>
      <c r="S34" s="19" t="s">
        <v>74</v>
      </c>
      <c r="T34" s="19" t="s">
        <v>75</v>
      </c>
    </row>
    <row r="35" spans="14:20" x14ac:dyDescent="0.25">
      <c r="O35" s="22" t="s">
        <v>54</v>
      </c>
      <c r="P35" s="24">
        <v>-0.15187238413552431</v>
      </c>
      <c r="Q35" s="24">
        <v>-0.38321777235193527</v>
      </c>
      <c r="R35" s="24">
        <v>-0.4007172077663459</v>
      </c>
      <c r="S35" s="24">
        <v>-0.41777131614630991</v>
      </c>
      <c r="T35" s="24">
        <v>-0.18358628712542438</v>
      </c>
    </row>
    <row r="36" spans="14:20" x14ac:dyDescent="0.25">
      <c r="O36" s="19" t="s">
        <v>55</v>
      </c>
      <c r="P36" s="18">
        <v>0.30746809678071835</v>
      </c>
      <c r="Q36" s="18">
        <v>0.29685894954824238</v>
      </c>
      <c r="R36" s="18">
        <v>0.29182502285298945</v>
      </c>
      <c r="S36" s="18">
        <v>0.28628173000961238</v>
      </c>
      <c r="T36" s="18">
        <v>-0.23727224514346057</v>
      </c>
    </row>
    <row r="37" spans="14:20" x14ac:dyDescent="0.25">
      <c r="O37" s="19" t="s">
        <v>56</v>
      </c>
      <c r="P37" s="18">
        <v>0.63143505878745454</v>
      </c>
      <c r="Q37" s="18">
        <v>0.76288760730694427</v>
      </c>
      <c r="R37" s="18">
        <v>0.76829337540413922</v>
      </c>
      <c r="S37" s="18">
        <v>0.77205728096838611</v>
      </c>
      <c r="T37" s="18">
        <v>0.25732154175275601</v>
      </c>
    </row>
    <row r="38" spans="14:20" x14ac:dyDescent="0.25">
      <c r="O38" s="19" t="s">
        <v>57</v>
      </c>
      <c r="P38" s="18">
        <v>0.71388668665857014</v>
      </c>
      <c r="Q38" s="18">
        <v>1.0303378574758526</v>
      </c>
      <c r="R38" s="18">
        <v>1.0505717295061798</v>
      </c>
      <c r="S38" s="18">
        <v>1.0700153355555042</v>
      </c>
      <c r="T38" s="18">
        <v>0.84916336252441671</v>
      </c>
    </row>
    <row r="39" spans="14:20" x14ac:dyDescent="0.25">
      <c r="O39" s="19" t="s">
        <v>58</v>
      </c>
      <c r="P39" s="18">
        <v>3.8032622649270383E-2</v>
      </c>
      <c r="Q39" s="18">
        <v>8.7856737684229885E-2</v>
      </c>
      <c r="R39" s="18">
        <v>0.10072086363749234</v>
      </c>
      <c r="S39" s="18">
        <v>0.11419521055675778</v>
      </c>
      <c r="T39" s="18">
        <v>0.29929669379081925</v>
      </c>
    </row>
    <row r="40" spans="14:20" x14ac:dyDescent="0.25">
      <c r="O40" s="22" t="s">
        <v>59</v>
      </c>
      <c r="P40" s="24">
        <v>-8.9727568518097864E-2</v>
      </c>
      <c r="Q40" s="24">
        <v>-0.11784171627194466</v>
      </c>
      <c r="R40" s="24">
        <v>-0.1140519122457516</v>
      </c>
      <c r="S40" s="24">
        <v>-0.1113130168446967</v>
      </c>
      <c r="T40" s="24">
        <v>-1.3070839227383601E-2</v>
      </c>
    </row>
    <row r="41" spans="14:20" x14ac:dyDescent="0.25">
      <c r="O41" s="22" t="s">
        <v>60</v>
      </c>
      <c r="P41" s="24">
        <v>-7.1614212684609713E-2</v>
      </c>
      <c r="Q41" s="24">
        <v>-5.5662578178430205E-2</v>
      </c>
      <c r="R41" s="24">
        <v>-5.5187794384695121E-2</v>
      </c>
      <c r="S41" s="24">
        <v>-5.1980603364675873E-2</v>
      </c>
      <c r="T41" s="24">
        <v>-9.6950546486282898E-3</v>
      </c>
    </row>
    <row r="42" spans="14:20" x14ac:dyDescent="0.25">
      <c r="O42" s="22" t="s">
        <v>61</v>
      </c>
      <c r="P42" s="24">
        <v>-4.969277773618367E-2</v>
      </c>
      <c r="Q42" s="24">
        <v>-2.8861262773574769E-2</v>
      </c>
      <c r="R42" s="24">
        <v>-2.770356044944319E-2</v>
      </c>
      <c r="S42" s="24">
        <v>-2.7166626912211105E-2</v>
      </c>
      <c r="T42" s="24">
        <v>1.4842466868053253E-3</v>
      </c>
    </row>
    <row r="48" spans="14:20" x14ac:dyDescent="0.25">
      <c r="N48" s="19"/>
      <c r="O48" s="19"/>
      <c r="P48" s="19"/>
      <c r="Q48" s="19"/>
      <c r="R48" s="19"/>
      <c r="S48" s="19"/>
      <c r="T48" s="19"/>
    </row>
    <row r="49" spans="14:26" x14ac:dyDescent="0.25">
      <c r="N49" s="19"/>
      <c r="O49" s="20"/>
      <c r="P49" s="20"/>
      <c r="Q49" s="20"/>
      <c r="R49" s="20"/>
      <c r="S49" s="20"/>
      <c r="T49" s="20"/>
    </row>
    <row r="50" spans="14:26" x14ac:dyDescent="0.25">
      <c r="N50" s="19" t="s">
        <v>63</v>
      </c>
      <c r="O50" s="19" t="s">
        <v>64</v>
      </c>
      <c r="Q50" s="19" t="s">
        <v>65</v>
      </c>
      <c r="R50" s="19"/>
      <c r="S50" s="19" t="s">
        <v>66</v>
      </c>
      <c r="T50" s="19"/>
      <c r="U50" s="19" t="s">
        <v>67</v>
      </c>
      <c r="V50" s="19"/>
      <c r="W50" s="19" t="s">
        <v>68</v>
      </c>
      <c r="X50" s="19"/>
      <c r="Y50" s="19" t="s">
        <v>69</v>
      </c>
    </row>
    <row r="51" spans="14:26" x14ac:dyDescent="0.25">
      <c r="N51" s="22" t="s">
        <v>54</v>
      </c>
      <c r="O51" s="23">
        <v>3.8641764122220743E-2</v>
      </c>
      <c r="Q51" s="23">
        <v>3.2773147277776513E-2</v>
      </c>
      <c r="R51" s="24"/>
      <c r="S51" s="23">
        <v>2.3833553355554375E-2</v>
      </c>
      <c r="T51" s="24"/>
      <c r="U51" s="23">
        <v>2.3157344299998682E-2</v>
      </c>
      <c r="V51" s="24"/>
      <c r="W51" s="23">
        <v>2.2498343466665325E-2</v>
      </c>
      <c r="X51" s="24"/>
      <c r="Y51" s="23">
        <v>3.1547666119045803E-2</v>
      </c>
    </row>
    <row r="52" spans="14:26" x14ac:dyDescent="0.25">
      <c r="N52" s="19" t="s">
        <v>55</v>
      </c>
      <c r="O52" s="20">
        <v>6.4569858285712545E-2</v>
      </c>
      <c r="P52" s="8">
        <f>(O52-$O$51)/$O$51</f>
        <v>0.67098629559156142</v>
      </c>
      <c r="Q52" s="20">
        <v>8.4423029722221279E-2</v>
      </c>
      <c r="R52" s="8">
        <f>(Q52-$Q$51)/$Q$51</f>
        <v>1.5759817635661919</v>
      </c>
      <c r="S52" s="20">
        <v>8.3737998588888043E-2</v>
      </c>
      <c r="T52" s="8">
        <f>(S52-$S$51)/$S$51</f>
        <v>2.5134500231528856</v>
      </c>
      <c r="U52" s="20">
        <v>8.3412958655554897E-2</v>
      </c>
      <c r="V52" s="8">
        <f>(U52-$U$51)/$U$51</f>
        <v>2.6020088303285989</v>
      </c>
      <c r="W52" s="20">
        <v>8.3055029022221838E-2</v>
      </c>
      <c r="X52" s="8">
        <f>(W52-$W$51)/$W$51</f>
        <v>2.6916064129468174</v>
      </c>
      <c r="Y52" s="20">
        <v>4.924922304166645E-2</v>
      </c>
      <c r="Z52" s="8">
        <f>(Y52-$Y$51)/$Y$51</f>
        <v>0.5611051180719181</v>
      </c>
    </row>
    <row r="53" spans="14:26" x14ac:dyDescent="0.25">
      <c r="N53" s="19" t="s">
        <v>56</v>
      </c>
      <c r="O53" s="20">
        <v>6.0978227261902433E-2</v>
      </c>
      <c r="P53" s="8">
        <f t="shared" ref="P53:P58" si="4">(O53-$O$51)/$O$51</f>
        <v>0.57803942565958644</v>
      </c>
      <c r="Q53" s="20">
        <v>9.9482017777776557E-2</v>
      </c>
      <c r="R53" s="8">
        <f t="shared" ref="R53:R58" si="5">(Q53-$Q$51)/$Q$51</f>
        <v>2.0354734299575603</v>
      </c>
      <c r="S53" s="20">
        <v>0.10749776115555426</v>
      </c>
      <c r="T53" s="8">
        <f t="shared" ref="T53:T58" si="6">(S53-$S$51)/$S$51</f>
        <v>3.5103539347187636</v>
      </c>
      <c r="U53" s="20">
        <v>0.10782739531111016</v>
      </c>
      <c r="V53" s="8">
        <f t="shared" ref="V53:V58" si="7">(U53-$U$51)/$U$51</f>
        <v>3.6562936541525741</v>
      </c>
      <c r="W53" s="20">
        <v>0.10805691159999914</v>
      </c>
      <c r="X53" s="8">
        <f t="shared" ref="X53:X58" si="8">(W53-$W$51)/$W$51</f>
        <v>3.8028830104803797</v>
      </c>
      <c r="Y53" s="20">
        <v>7.6669238714285104E-2</v>
      </c>
      <c r="Z53" s="8">
        <f t="shared" ref="Z53:Z58" si="9">(Y53-$Y$51)/$Y$51</f>
        <v>1.4302665821608505</v>
      </c>
    </row>
    <row r="54" spans="14:26" x14ac:dyDescent="0.25">
      <c r="N54" s="19" t="s">
        <v>57</v>
      </c>
      <c r="O54" s="20">
        <v>6.0309230666666665E-2</v>
      </c>
      <c r="P54" s="8">
        <f t="shared" si="4"/>
        <v>0.56072663959941105</v>
      </c>
      <c r="Q54" s="20">
        <v>0.10336318752222076</v>
      </c>
      <c r="R54" s="8">
        <f t="shared" si="5"/>
        <v>2.1538987283138167</v>
      </c>
      <c r="S54" s="20">
        <v>0.12244811417777698</v>
      </c>
      <c r="T54" s="8">
        <f t="shared" si="6"/>
        <v>4.137635683234814</v>
      </c>
      <c r="U54" s="20">
        <v>0.12366840343333381</v>
      </c>
      <c r="V54" s="8">
        <f t="shared" si="7"/>
        <v>4.3403534460270929</v>
      </c>
      <c r="W54" s="20">
        <v>0.1248410323555543</v>
      </c>
      <c r="X54" s="8">
        <f t="shared" si="8"/>
        <v>4.5488988573992142</v>
      </c>
      <c r="Y54" s="20">
        <v>0.111521619770834</v>
      </c>
      <c r="Z54" s="8">
        <f t="shared" si="9"/>
        <v>2.5350196540690124</v>
      </c>
    </row>
    <row r="55" spans="14:26" x14ac:dyDescent="0.25">
      <c r="N55" s="19" t="s">
        <v>58</v>
      </c>
      <c r="O55" s="20">
        <v>0.12124174995555556</v>
      </c>
      <c r="P55" s="8">
        <f t="shared" si="4"/>
        <v>2.1375832007068261</v>
      </c>
      <c r="Q55" s="20">
        <v>0.1258528916809524</v>
      </c>
      <c r="R55" s="8">
        <f t="shared" si="5"/>
        <v>2.8401222383146982</v>
      </c>
      <c r="S55" s="20">
        <v>0.1318936545777778</v>
      </c>
      <c r="T55" s="8">
        <f t="shared" si="6"/>
        <v>4.533948405013648</v>
      </c>
      <c r="U55" s="20">
        <v>0.13345332372000002</v>
      </c>
      <c r="V55" s="8">
        <f t="shared" si="7"/>
        <v>4.7628941380816112</v>
      </c>
      <c r="W55" s="20">
        <v>0.13508697712000001</v>
      </c>
      <c r="X55" s="8">
        <f t="shared" si="8"/>
        <v>5.0043077091498605</v>
      </c>
      <c r="Y55" s="20">
        <v>0.15752900486666654</v>
      </c>
      <c r="Z55" s="8">
        <f t="shared" si="9"/>
        <v>3.9933647792590241</v>
      </c>
    </row>
    <row r="56" spans="14:26" x14ac:dyDescent="0.25">
      <c r="N56" s="22" t="s">
        <v>59</v>
      </c>
      <c r="O56" s="23">
        <v>0.23463937487878778</v>
      </c>
      <c r="P56" s="8">
        <f t="shared" si="4"/>
        <v>5.0721703630466406</v>
      </c>
      <c r="Q56" s="23">
        <v>0.21358575429230769</v>
      </c>
      <c r="R56" s="8">
        <f t="shared" si="5"/>
        <v>5.5170962215502657</v>
      </c>
      <c r="S56" s="23">
        <v>0.20698906823809521</v>
      </c>
      <c r="T56" s="8">
        <f t="shared" si="6"/>
        <v>7.6847758347311945</v>
      </c>
      <c r="U56" s="23">
        <v>0.20787830548571426</v>
      </c>
      <c r="V56" s="8">
        <f t="shared" si="7"/>
        <v>7.9767765592070106</v>
      </c>
      <c r="W56" s="23">
        <v>0.20852095819047617</v>
      </c>
      <c r="X56" s="8">
        <f t="shared" si="8"/>
        <v>8.2682805069373799</v>
      </c>
      <c r="Y56" s="23">
        <v>0.23157244133333335</v>
      </c>
      <c r="Z56" s="8">
        <f t="shared" si="9"/>
        <v>6.340398508703931</v>
      </c>
    </row>
    <row r="57" spans="14:26" x14ac:dyDescent="0.25">
      <c r="N57" s="22" t="s">
        <v>60</v>
      </c>
      <c r="O57" s="23">
        <v>0.27961061749696975</v>
      </c>
      <c r="P57" s="8">
        <f t="shared" si="4"/>
        <v>6.2359692640476814</v>
      </c>
      <c r="Q57" s="23">
        <v>0.2595865232666667</v>
      </c>
      <c r="R57" s="8">
        <f t="shared" si="5"/>
        <v>6.9207077997874329</v>
      </c>
      <c r="S57" s="23">
        <v>0.26404676964102552</v>
      </c>
      <c r="T57" s="8">
        <f t="shared" si="6"/>
        <v>10.07878316346353</v>
      </c>
      <c r="U57" s="23">
        <v>0.26417952423076935</v>
      </c>
      <c r="V57" s="8">
        <f t="shared" si="7"/>
        <v>10.408023338444053</v>
      </c>
      <c r="W57" s="23">
        <v>0.26507628889230767</v>
      </c>
      <c r="X57" s="8">
        <f t="shared" si="8"/>
        <v>10.782035832329523</v>
      </c>
      <c r="Y57" s="23">
        <v>0.27689977727999993</v>
      </c>
      <c r="Z57" s="8">
        <f t="shared" si="9"/>
        <v>7.777187391140524</v>
      </c>
    </row>
    <row r="58" spans="14:26" x14ac:dyDescent="0.25">
      <c r="N58" s="22" t="s">
        <v>61</v>
      </c>
      <c r="O58" s="23">
        <v>0.33965921849696962</v>
      </c>
      <c r="P58" s="8">
        <f t="shared" si="4"/>
        <v>7.7899511373925696</v>
      </c>
      <c r="Q58" s="23">
        <v>0.32278060844615386</v>
      </c>
      <c r="R58" s="8">
        <f t="shared" si="5"/>
        <v>8.8489353405808409</v>
      </c>
      <c r="S58" s="23">
        <v>0.32985622453846153</v>
      </c>
      <c r="T58" s="8">
        <f t="shared" si="6"/>
        <v>12.839993542615794</v>
      </c>
      <c r="U58" s="23">
        <v>0.33024944880512819</v>
      </c>
      <c r="V58" s="8">
        <f t="shared" si="7"/>
        <v>13.261110623343239</v>
      </c>
      <c r="W58" s="23">
        <v>0.33043182323076925</v>
      </c>
      <c r="X58" s="8">
        <f t="shared" si="8"/>
        <v>13.686940117184788</v>
      </c>
      <c r="Y58" s="23">
        <v>0.34016335656666663</v>
      </c>
      <c r="Z58" s="8">
        <f t="shared" si="9"/>
        <v>9.7825204971756961</v>
      </c>
    </row>
    <row r="59" spans="14:26" x14ac:dyDescent="0.25">
      <c r="N59" s="19"/>
      <c r="O59" s="20"/>
      <c r="P59" s="20"/>
      <c r="Q59" s="20"/>
      <c r="R59" s="20"/>
      <c r="S59" s="20"/>
      <c r="T59" s="20"/>
    </row>
    <row r="60" spans="14:26" x14ac:dyDescent="0.25">
      <c r="N60" s="19"/>
      <c r="O60" s="20"/>
      <c r="P60" s="20"/>
      <c r="Q60" s="20"/>
      <c r="R60" s="20"/>
      <c r="S60" s="20"/>
      <c r="T60" s="20"/>
    </row>
    <row r="61" spans="14:26" x14ac:dyDescent="0.25">
      <c r="N61" s="19"/>
      <c r="O61" s="20"/>
      <c r="P61" s="20"/>
      <c r="Q61" s="20"/>
      <c r="R61" s="20"/>
      <c r="S61" s="20"/>
      <c r="T61" s="20"/>
    </row>
    <row r="62" spans="14:26" x14ac:dyDescent="0.25">
      <c r="N62" s="19"/>
      <c r="O62" s="20"/>
      <c r="P62" s="20"/>
      <c r="Q62" s="20"/>
      <c r="R62" s="20"/>
      <c r="S62" s="20"/>
      <c r="T62" s="20"/>
    </row>
    <row r="63" spans="14:26" x14ac:dyDescent="0.25">
      <c r="N63" s="19"/>
      <c r="O63" s="19" t="s">
        <v>63</v>
      </c>
      <c r="P63" s="19" t="s">
        <v>64</v>
      </c>
      <c r="Q63" s="19" t="s">
        <v>71</v>
      </c>
      <c r="R63" s="19" t="s">
        <v>72</v>
      </c>
      <c r="S63" s="19" t="s">
        <v>73</v>
      </c>
      <c r="T63" s="19" t="s">
        <v>74</v>
      </c>
      <c r="U63" s="19" t="s">
        <v>75</v>
      </c>
    </row>
    <row r="64" spans="14:26" x14ac:dyDescent="0.25">
      <c r="O64" s="22" t="s">
        <v>54</v>
      </c>
    </row>
    <row r="65" spans="15:21" x14ac:dyDescent="0.25">
      <c r="O65" s="19" t="s">
        <v>55</v>
      </c>
      <c r="P65" s="8">
        <v>0.67098629559156142</v>
      </c>
      <c r="Q65" s="8">
        <v>1.5759817635661919</v>
      </c>
      <c r="R65" s="8">
        <v>2.5134500231528856</v>
      </c>
      <c r="S65" s="8">
        <v>2.6020088303285989</v>
      </c>
      <c r="T65" s="8">
        <v>2.6916064129468174</v>
      </c>
      <c r="U65" s="8">
        <v>0.5611051180719181</v>
      </c>
    </row>
    <row r="66" spans="15:21" x14ac:dyDescent="0.25">
      <c r="O66" s="19" t="s">
        <v>56</v>
      </c>
      <c r="P66" s="8">
        <v>0.57803942565958644</v>
      </c>
      <c r="Q66" s="8">
        <v>2.0354734299575603</v>
      </c>
      <c r="R66" s="8">
        <v>3.5103539347187636</v>
      </c>
      <c r="S66" s="8">
        <v>3.6562936541525741</v>
      </c>
      <c r="T66" s="8">
        <v>3.8028830104803797</v>
      </c>
      <c r="U66" s="8">
        <v>1.4302665821608505</v>
      </c>
    </row>
    <row r="67" spans="15:21" x14ac:dyDescent="0.25">
      <c r="O67" s="19" t="s">
        <v>57</v>
      </c>
      <c r="P67" s="8">
        <v>0.56072663959941105</v>
      </c>
      <c r="Q67" s="8">
        <v>2.1538987283138167</v>
      </c>
      <c r="R67" s="8">
        <v>4.137635683234814</v>
      </c>
      <c r="S67" s="8">
        <v>4.3403534460270929</v>
      </c>
      <c r="T67" s="8">
        <v>4.5488988573992142</v>
      </c>
      <c r="U67" s="8">
        <v>2.5350196540690124</v>
      </c>
    </row>
    <row r="68" spans="15:21" x14ac:dyDescent="0.25">
      <c r="O68" s="19" t="s">
        <v>58</v>
      </c>
      <c r="P68" s="8">
        <v>2.1375832007068261</v>
      </c>
      <c r="Q68" s="8">
        <v>2.8401222383146982</v>
      </c>
      <c r="R68" s="8">
        <v>4.533948405013648</v>
      </c>
      <c r="S68" s="8">
        <v>4.7628941380816112</v>
      </c>
      <c r="T68" s="8">
        <v>5.0043077091498605</v>
      </c>
      <c r="U68" s="8">
        <v>3.9933647792590241</v>
      </c>
    </row>
    <row r="69" spans="15:21" x14ac:dyDescent="0.25">
      <c r="O69" s="22" t="s">
        <v>59</v>
      </c>
      <c r="P69" s="8">
        <v>5.0721703630466406</v>
      </c>
      <c r="Q69" s="8">
        <v>5.5170962215502657</v>
      </c>
      <c r="R69" s="8">
        <v>7.6847758347311945</v>
      </c>
      <c r="S69" s="8">
        <v>7.9767765592070106</v>
      </c>
      <c r="T69" s="8">
        <v>8.2682805069373799</v>
      </c>
      <c r="U69" s="8">
        <v>6.340398508703931</v>
      </c>
    </row>
    <row r="70" spans="15:21" x14ac:dyDescent="0.25">
      <c r="O70" s="22" t="s">
        <v>60</v>
      </c>
      <c r="P70" s="8">
        <v>6.2359692640476814</v>
      </c>
      <c r="Q70" s="8">
        <v>6.9207077997874329</v>
      </c>
      <c r="R70" s="8">
        <v>10.07878316346353</v>
      </c>
      <c r="S70" s="8">
        <v>10.408023338444053</v>
      </c>
      <c r="T70" s="8">
        <v>10.782035832329523</v>
      </c>
      <c r="U70" s="8">
        <v>7.777187391140524</v>
      </c>
    </row>
    <row r="71" spans="15:21" x14ac:dyDescent="0.25">
      <c r="O71" s="22" t="s">
        <v>61</v>
      </c>
      <c r="P71" s="8">
        <v>7.7899511373925696</v>
      </c>
      <c r="Q71" s="8">
        <v>8.8489353405808409</v>
      </c>
      <c r="R71" s="8">
        <v>12.839993542615794</v>
      </c>
      <c r="S71" s="8">
        <v>13.261110623343239</v>
      </c>
      <c r="T71" s="8">
        <v>13.686940117184788</v>
      </c>
      <c r="U71" s="8">
        <v>9.7825204971756961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积水峰值规律</vt:lpstr>
      <vt:lpstr>消退速率结果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宁 李</cp:lastModifiedBy>
  <dcterms:created xsi:type="dcterms:W3CDTF">2015-06-05T18:19:34Z</dcterms:created>
  <dcterms:modified xsi:type="dcterms:W3CDTF">2026-05-11T02:59:04Z</dcterms:modified>
</cp:coreProperties>
</file>