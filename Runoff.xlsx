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letter\04Drought_to_flood\Data analysis\"/>
    </mc:Choice>
  </mc:AlternateContent>
  <xr:revisionPtr revIDLastSave="0" documentId="13_ncr:1_{802EE225-9B44-42C1-B786-E073BE8AC9BF}" xr6:coauthVersionLast="47" xr6:coauthVersionMax="47" xr10:uidLastSave="{00000000-0000-0000-0000-000000000000}"/>
  <bookViews>
    <workbookView xWindow="4725" yWindow="555" windowWidth="21495" windowHeight="12990" tabRatio="855" activeTab="2" xr2:uid="{00000000-000D-0000-FFFF-FFFF00000000}"/>
  </bookViews>
  <sheets>
    <sheet name="径流结果" sheetId="1" r:id="rId1"/>
    <sheet name="地表积水" sheetId="3" r:id="rId2"/>
    <sheet name="地表积水过程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4" l="1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B25" i="4"/>
  <c r="AJ22" i="1"/>
  <c r="AH27" i="1"/>
  <c r="AH25" i="1"/>
  <c r="D38" i="3"/>
  <c r="E38" i="3"/>
  <c r="F38" i="3"/>
  <c r="G38" i="3"/>
  <c r="H38" i="3"/>
  <c r="D40" i="3"/>
  <c r="E40" i="3"/>
  <c r="F40" i="3"/>
  <c r="G40" i="3"/>
  <c r="H40" i="3"/>
  <c r="D42" i="3"/>
  <c r="E42" i="3"/>
  <c r="F42" i="3"/>
  <c r="G42" i="3"/>
  <c r="H42" i="3"/>
  <c r="D44" i="3"/>
  <c r="E44" i="3"/>
  <c r="F44" i="3"/>
  <c r="G44" i="3"/>
  <c r="H44" i="3"/>
  <c r="AR35" i="1" l="1"/>
  <c r="AR36" i="1"/>
  <c r="AR37" i="1"/>
  <c r="AR38" i="1"/>
  <c r="AR39" i="1"/>
  <c r="AR40" i="1"/>
  <c r="AR34" i="1"/>
  <c r="AP35" i="1"/>
  <c r="AP36" i="1"/>
  <c r="AP37" i="1"/>
  <c r="AP38" i="1"/>
  <c r="AP39" i="1"/>
  <c r="AP40" i="1"/>
  <c r="AP34" i="1"/>
  <c r="AN35" i="1"/>
  <c r="AN36" i="1"/>
  <c r="AN37" i="1"/>
  <c r="AN38" i="1"/>
  <c r="AN39" i="1"/>
  <c r="AN40" i="1"/>
  <c r="AN34" i="1"/>
  <c r="AL35" i="1"/>
  <c r="AL36" i="1"/>
  <c r="AL37" i="1"/>
  <c r="AL38" i="1"/>
  <c r="AL39" i="1"/>
  <c r="AL40" i="1"/>
  <c r="AL34" i="1"/>
  <c r="AJ35" i="1"/>
  <c r="AJ36" i="1"/>
  <c r="AJ37" i="1"/>
  <c r="AJ38" i="1"/>
  <c r="AJ39" i="1"/>
  <c r="AJ40" i="1"/>
  <c r="AJ34" i="1"/>
  <c r="AH35" i="1"/>
  <c r="AH36" i="1"/>
  <c r="AH37" i="1"/>
  <c r="AH38" i="1"/>
  <c r="AH39" i="1"/>
  <c r="AH40" i="1"/>
  <c r="AH34" i="1"/>
  <c r="L32" i="1"/>
  <c r="M32" i="1"/>
  <c r="N32" i="1"/>
  <c r="O32" i="1"/>
  <c r="L33" i="1"/>
  <c r="M33" i="1"/>
  <c r="N33" i="1"/>
  <c r="O33" i="1"/>
  <c r="L34" i="1"/>
  <c r="M34" i="1"/>
  <c r="N34" i="1"/>
  <c r="O34" i="1"/>
  <c r="L35" i="1"/>
  <c r="M35" i="1"/>
  <c r="N35" i="1"/>
  <c r="O35" i="1"/>
  <c r="L36" i="1"/>
  <c r="M36" i="1"/>
  <c r="N36" i="1"/>
  <c r="O36" i="1"/>
  <c r="L37" i="1"/>
  <c r="M37" i="1"/>
  <c r="N37" i="1"/>
  <c r="O37" i="1"/>
  <c r="L38" i="1"/>
  <c r="M38" i="1"/>
  <c r="N38" i="1"/>
  <c r="O38" i="1"/>
  <c r="M31" i="1"/>
  <c r="N31" i="1"/>
  <c r="O31" i="1"/>
  <c r="L31" i="1"/>
  <c r="D22" i="1"/>
  <c r="AU39" i="3" l="1"/>
  <c r="AU40" i="3"/>
  <c r="AU41" i="3"/>
  <c r="AU42" i="3"/>
  <c r="AU43" i="3"/>
  <c r="AU44" i="3"/>
  <c r="AU38" i="3"/>
  <c r="AS39" i="3"/>
  <c r="AS40" i="3"/>
  <c r="AS41" i="3"/>
  <c r="AS42" i="3"/>
  <c r="AS43" i="3"/>
  <c r="AS44" i="3"/>
  <c r="AS38" i="3"/>
  <c r="AQ39" i="3"/>
  <c r="AQ40" i="3"/>
  <c r="AQ41" i="3"/>
  <c r="AQ42" i="3"/>
  <c r="AQ43" i="3"/>
  <c r="AQ44" i="3"/>
  <c r="AQ38" i="3"/>
  <c r="AO39" i="3"/>
  <c r="AO40" i="3"/>
  <c r="AO41" i="3"/>
  <c r="AO42" i="3"/>
  <c r="AO43" i="3"/>
  <c r="AO44" i="3"/>
  <c r="AO38" i="3"/>
  <c r="AM39" i="3"/>
  <c r="AM40" i="3"/>
  <c r="AM41" i="3"/>
  <c r="AM42" i="3"/>
  <c r="AM43" i="3"/>
  <c r="AM44" i="3"/>
  <c r="AM38" i="3"/>
  <c r="AK39" i="3"/>
  <c r="AK40" i="3"/>
  <c r="AK41" i="3"/>
  <c r="AK42" i="3"/>
  <c r="AK43" i="3"/>
  <c r="AK44" i="3"/>
  <c r="AK38" i="3"/>
  <c r="AU19" i="3"/>
  <c r="AU20" i="3"/>
  <c r="AU21" i="3"/>
  <c r="AU22" i="3"/>
  <c r="AS19" i="3"/>
  <c r="AS20" i="3"/>
  <c r="AS21" i="3"/>
  <c r="AS22" i="3"/>
  <c r="AQ19" i="3"/>
  <c r="AQ20" i="3"/>
  <c r="AQ21" i="3"/>
  <c r="AQ22" i="3"/>
  <c r="AO19" i="3"/>
  <c r="AO20" i="3"/>
  <c r="AO21" i="3"/>
  <c r="AO22" i="3"/>
  <c r="AM19" i="3"/>
  <c r="AM20" i="3"/>
  <c r="AM21" i="3"/>
  <c r="AM22" i="3"/>
  <c r="AK19" i="3"/>
  <c r="AK20" i="3"/>
  <c r="AK21" i="3"/>
  <c r="AK22" i="3"/>
  <c r="H25" i="3"/>
  <c r="G25" i="3"/>
  <c r="F25" i="3"/>
  <c r="E25" i="3"/>
  <c r="D25" i="3"/>
  <c r="H23" i="3"/>
  <c r="G23" i="3"/>
  <c r="F23" i="3"/>
  <c r="E23" i="3"/>
  <c r="D23" i="3"/>
  <c r="H21" i="3"/>
  <c r="G21" i="3"/>
  <c r="F21" i="3"/>
  <c r="E21" i="3"/>
  <c r="D21" i="3"/>
  <c r="H19" i="3"/>
  <c r="G19" i="3"/>
  <c r="F19" i="3"/>
  <c r="E19" i="3"/>
  <c r="D19" i="3"/>
  <c r="AR21" i="1"/>
  <c r="AR22" i="1"/>
  <c r="AR23" i="1"/>
  <c r="AR24" i="1"/>
  <c r="AP21" i="1"/>
  <c r="AP22" i="1"/>
  <c r="AP23" i="1"/>
  <c r="AP24" i="1"/>
  <c r="AN21" i="1"/>
  <c r="AN22" i="1"/>
  <c r="AN23" i="1"/>
  <c r="AN24" i="1"/>
  <c r="AL21" i="1"/>
  <c r="AL22" i="1"/>
  <c r="AL23" i="1"/>
  <c r="AL24" i="1"/>
  <c r="AJ21" i="1"/>
  <c r="AJ23" i="1"/>
  <c r="AJ24" i="1"/>
  <c r="AH21" i="1"/>
  <c r="AH22" i="1"/>
  <c r="AH23" i="1"/>
  <c r="AH24" i="1"/>
  <c r="E52" i="1"/>
  <c r="F52" i="1"/>
  <c r="G52" i="1"/>
  <c r="H52" i="1"/>
  <c r="D52" i="1"/>
  <c r="E50" i="1"/>
  <c r="F50" i="1"/>
  <c r="G50" i="1"/>
  <c r="H50" i="1"/>
  <c r="D50" i="1"/>
  <c r="E48" i="1"/>
  <c r="F48" i="1"/>
  <c r="G48" i="1"/>
  <c r="H48" i="1"/>
  <c r="D48" i="1"/>
  <c r="E46" i="1"/>
  <c r="F46" i="1"/>
  <c r="G46" i="1"/>
  <c r="H46" i="1"/>
  <c r="D46" i="1"/>
  <c r="H28" i="1"/>
  <c r="G28" i="1"/>
  <c r="F28" i="1"/>
  <c r="E28" i="1"/>
  <c r="D28" i="1"/>
  <c r="H26" i="1"/>
  <c r="G26" i="1"/>
  <c r="F26" i="1"/>
  <c r="E26" i="1"/>
  <c r="D26" i="1"/>
  <c r="H24" i="1"/>
  <c r="G24" i="1"/>
  <c r="F24" i="1"/>
  <c r="E24" i="1"/>
  <c r="D24" i="1"/>
  <c r="E22" i="1"/>
  <c r="H22" i="1"/>
  <c r="G22" i="1"/>
  <c r="F22" i="1"/>
  <c r="D30" i="1"/>
  <c r="E30" i="1"/>
  <c r="F30" i="1"/>
  <c r="G30" i="1"/>
  <c r="H30" i="1"/>
  <c r="D32" i="1"/>
  <c r="E32" i="1"/>
  <c r="F32" i="1"/>
  <c r="G32" i="1"/>
  <c r="H32" i="1"/>
  <c r="H52" i="3"/>
  <c r="F60" i="1"/>
  <c r="E60" i="1"/>
  <c r="E58" i="1"/>
  <c r="E56" i="1"/>
  <c r="E54" i="1"/>
  <c r="D60" i="1"/>
  <c r="D58" i="1"/>
  <c r="D56" i="1"/>
  <c r="D54" i="1"/>
  <c r="E52" i="3"/>
  <c r="F52" i="3"/>
  <c r="G52" i="3"/>
  <c r="D52" i="3"/>
  <c r="E50" i="3"/>
  <c r="F50" i="3"/>
  <c r="G50" i="3"/>
  <c r="H50" i="3"/>
  <c r="D50" i="3"/>
  <c r="E48" i="3"/>
  <c r="F48" i="3"/>
  <c r="G48" i="3"/>
  <c r="H48" i="3"/>
  <c r="D48" i="3"/>
  <c r="E46" i="3"/>
  <c r="F46" i="3"/>
  <c r="G46" i="3"/>
  <c r="H46" i="3"/>
  <c r="D46" i="3"/>
  <c r="H33" i="3"/>
  <c r="G33" i="3"/>
  <c r="F33" i="3"/>
  <c r="E33" i="3"/>
  <c r="D33" i="3"/>
  <c r="H31" i="3"/>
  <c r="G31" i="3"/>
  <c r="F31" i="3"/>
  <c r="E31" i="3"/>
  <c r="D31" i="3"/>
  <c r="AU25" i="3"/>
  <c r="AS25" i="3"/>
  <c r="AQ25" i="3"/>
  <c r="AO25" i="3"/>
  <c r="AM25" i="3"/>
  <c r="AK25" i="3"/>
  <c r="H29" i="3"/>
  <c r="G29" i="3"/>
  <c r="F29" i="3"/>
  <c r="E29" i="3"/>
  <c r="D29" i="3"/>
  <c r="AU24" i="3"/>
  <c r="AS24" i="3"/>
  <c r="AQ24" i="3"/>
  <c r="AO24" i="3"/>
  <c r="AM24" i="3"/>
  <c r="AK24" i="3"/>
  <c r="AU23" i="3"/>
  <c r="AS23" i="3"/>
  <c r="AQ23" i="3"/>
  <c r="AO23" i="3"/>
  <c r="AM23" i="3"/>
  <c r="AK23" i="3"/>
  <c r="H27" i="3"/>
  <c r="G27" i="3"/>
  <c r="F27" i="3"/>
  <c r="E27" i="3"/>
  <c r="D27" i="3"/>
  <c r="AR27" i="1"/>
  <c r="AR26" i="1"/>
  <c r="AR25" i="1"/>
  <c r="AP27" i="1"/>
  <c r="AP26" i="1"/>
  <c r="AP25" i="1"/>
  <c r="AN27" i="1"/>
  <c r="AN26" i="1"/>
  <c r="AN25" i="1"/>
  <c r="AL27" i="1"/>
  <c r="AL26" i="1"/>
  <c r="AL25" i="1"/>
  <c r="AJ27" i="1"/>
  <c r="AJ26" i="1"/>
  <c r="AJ25" i="1"/>
  <c r="AH26" i="1"/>
  <c r="G60" i="1"/>
  <c r="I60" i="1" s="1"/>
  <c r="H60" i="1"/>
  <c r="F58" i="1"/>
  <c r="G58" i="1"/>
  <c r="I58" i="1" s="1"/>
  <c r="H58" i="1"/>
  <c r="F56" i="1"/>
  <c r="G56" i="1"/>
  <c r="I56" i="1" s="1"/>
  <c r="H56" i="1"/>
  <c r="F54" i="1"/>
  <c r="G54" i="1"/>
  <c r="I54" i="1" s="1"/>
  <c r="H54" i="1"/>
  <c r="H36" i="1"/>
  <c r="G36" i="1"/>
  <c r="F36" i="1"/>
  <c r="E36" i="1"/>
  <c r="D36" i="1"/>
  <c r="H34" i="1"/>
  <c r="G34" i="1"/>
  <c r="F34" i="1"/>
  <c r="E34" i="1"/>
  <c r="D34" i="1"/>
  <c r="I48" i="1" l="1"/>
  <c r="I52" i="1"/>
  <c r="I50" i="1"/>
  <c r="I46" i="1"/>
</calcChain>
</file>

<file path=xl/sharedStrings.xml><?xml version="1.0" encoding="utf-8"?>
<sst xmlns="http://schemas.openxmlformats.org/spreadsheetml/2006/main" count="346" uniqueCount="124">
  <si>
    <r>
      <t>10</t>
    </r>
    <r>
      <rPr>
        <sz val="11"/>
        <color theme="1"/>
        <rFont val="宋体"/>
        <family val="1"/>
        <charset val="134"/>
      </rPr>
      <t>年一遇</t>
    </r>
    <phoneticPr fontId="1" type="noConversion"/>
  </si>
  <si>
    <r>
      <t>30</t>
    </r>
    <r>
      <rPr>
        <sz val="11"/>
        <color theme="1"/>
        <rFont val="宋体"/>
        <family val="1"/>
        <charset val="134"/>
      </rPr>
      <t>年一遇</t>
    </r>
    <phoneticPr fontId="1" type="noConversion"/>
  </si>
  <si>
    <r>
      <t>50</t>
    </r>
    <r>
      <rPr>
        <sz val="11"/>
        <color theme="1"/>
        <rFont val="宋体"/>
        <family val="1"/>
        <charset val="134"/>
      </rPr>
      <t>年一遇</t>
    </r>
    <phoneticPr fontId="1" type="noConversion"/>
  </si>
  <si>
    <r>
      <t>100</t>
    </r>
    <r>
      <rPr>
        <sz val="11"/>
        <color theme="1"/>
        <rFont val="宋体"/>
        <family val="1"/>
        <charset val="134"/>
      </rPr>
      <t>年一遇</t>
    </r>
    <phoneticPr fontId="1" type="noConversion"/>
  </si>
  <si>
    <r>
      <rPr>
        <sz val="11"/>
        <color theme="1"/>
        <rFont val="宋体"/>
        <family val="3"/>
        <charset val="134"/>
      </rPr>
      <t>极端</t>
    </r>
    <r>
      <rPr>
        <sz val="11"/>
        <color theme="1"/>
        <rFont val="等线"/>
        <family val="1"/>
        <charset val="134"/>
      </rPr>
      <t>干旱</t>
    </r>
    <phoneticPr fontId="1" type="noConversion"/>
  </si>
  <si>
    <r>
      <rPr>
        <sz val="11"/>
        <color theme="1"/>
        <rFont val="宋体"/>
        <family val="3"/>
        <charset val="134"/>
      </rPr>
      <t>正常</t>
    </r>
    <r>
      <rPr>
        <sz val="11"/>
        <color theme="1"/>
        <rFont val="等线"/>
        <family val="1"/>
        <charset val="134"/>
      </rPr>
      <t>干旱</t>
    </r>
    <phoneticPr fontId="1" type="noConversion"/>
  </si>
  <si>
    <r>
      <rPr>
        <sz val="11"/>
        <color theme="1"/>
        <rFont val="宋体"/>
        <family val="3"/>
        <charset val="134"/>
      </rPr>
      <t>轻度</t>
    </r>
    <r>
      <rPr>
        <sz val="11"/>
        <color theme="1"/>
        <rFont val="等线"/>
        <family val="1"/>
        <charset val="134"/>
      </rPr>
      <t>干旱</t>
    </r>
    <phoneticPr fontId="1" type="noConversion"/>
  </si>
  <si>
    <r>
      <rPr>
        <sz val="11"/>
        <color theme="1"/>
        <rFont val="宋体"/>
        <family val="3"/>
        <charset val="134"/>
      </rPr>
      <t>中度</t>
    </r>
    <r>
      <rPr>
        <sz val="11"/>
        <color theme="1"/>
        <rFont val="等线"/>
        <family val="1"/>
        <charset val="134"/>
      </rPr>
      <t>干旱</t>
    </r>
    <phoneticPr fontId="1" type="noConversion"/>
  </si>
  <si>
    <r>
      <rPr>
        <sz val="11"/>
        <color theme="1"/>
        <rFont val="宋体"/>
        <family val="3"/>
        <charset val="134"/>
      </rPr>
      <t>严重</t>
    </r>
    <r>
      <rPr>
        <sz val="11"/>
        <color theme="1"/>
        <rFont val="等线"/>
        <family val="1"/>
        <charset val="134"/>
      </rPr>
      <t>干旱</t>
    </r>
    <phoneticPr fontId="1" type="noConversion"/>
  </si>
  <si>
    <r>
      <rPr>
        <sz val="11"/>
        <color theme="1"/>
        <rFont val="宋体"/>
        <family val="3"/>
        <charset val="134"/>
      </rPr>
      <t>特大</t>
    </r>
    <r>
      <rPr>
        <sz val="11"/>
        <color theme="1"/>
        <rFont val="等线"/>
        <family val="1"/>
        <charset val="134"/>
      </rPr>
      <t>干旱</t>
    </r>
    <phoneticPr fontId="1" type="noConversion"/>
  </si>
  <si>
    <r>
      <t xml:space="preserve"> </t>
    </r>
    <r>
      <rPr>
        <sz val="11"/>
        <color theme="1"/>
        <rFont val="宋体"/>
        <family val="1"/>
        <charset val="134"/>
      </rPr>
      <t>重现期</t>
    </r>
    <phoneticPr fontId="1" type="noConversion"/>
  </si>
  <si>
    <t>重现期</t>
    <phoneticPr fontId="1" type="noConversion"/>
  </si>
  <si>
    <r>
      <t>×10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3</t>
    </r>
    <phoneticPr fontId="1" type="noConversion"/>
  </si>
  <si>
    <r>
      <rPr>
        <sz val="11"/>
        <color theme="1"/>
        <rFont val="宋体"/>
        <family val="3"/>
        <charset val="134"/>
      </rPr>
      <t>重现期</t>
    </r>
    <phoneticPr fontId="1" type="noConversion"/>
  </si>
  <si>
    <r>
      <rPr>
        <sz val="11"/>
        <color theme="1"/>
        <rFont val="宋体"/>
        <family val="3"/>
        <charset val="134"/>
      </rPr>
      <t>正常干旱</t>
    </r>
    <phoneticPr fontId="1" type="noConversion"/>
  </si>
  <si>
    <r>
      <rPr>
        <sz val="11"/>
        <color theme="1"/>
        <rFont val="宋体"/>
        <family val="3"/>
        <charset val="134"/>
      </rPr>
      <t>轻度干旱</t>
    </r>
    <phoneticPr fontId="1" type="noConversion"/>
  </si>
  <si>
    <r>
      <rPr>
        <sz val="11"/>
        <color theme="1"/>
        <rFont val="宋体"/>
        <family val="3"/>
        <charset val="134"/>
      </rPr>
      <t>中度干旱</t>
    </r>
    <phoneticPr fontId="1" type="noConversion"/>
  </si>
  <si>
    <r>
      <rPr>
        <sz val="11"/>
        <color theme="1"/>
        <rFont val="宋体"/>
        <family val="3"/>
        <charset val="134"/>
      </rPr>
      <t>严重干旱</t>
    </r>
    <phoneticPr fontId="1" type="noConversion"/>
  </si>
  <si>
    <r>
      <rPr>
        <sz val="11"/>
        <color theme="1"/>
        <rFont val="宋体"/>
        <family val="3"/>
        <charset val="134"/>
      </rPr>
      <t>特大干旱</t>
    </r>
    <phoneticPr fontId="1" type="noConversion"/>
  </si>
  <si>
    <r>
      <rPr>
        <sz val="11"/>
        <color theme="1"/>
        <rFont val="宋体"/>
        <family val="3"/>
        <charset val="134"/>
      </rPr>
      <t>极端干旱</t>
    </r>
    <phoneticPr fontId="1" type="noConversion"/>
  </si>
  <si>
    <r>
      <t>10</t>
    </r>
    <r>
      <rPr>
        <sz val="11"/>
        <color theme="1"/>
        <rFont val="宋体"/>
        <family val="3"/>
        <charset val="134"/>
      </rPr>
      <t>年一遇</t>
    </r>
    <phoneticPr fontId="1" type="noConversion"/>
  </si>
  <si>
    <r>
      <t>30</t>
    </r>
    <r>
      <rPr>
        <sz val="11"/>
        <color theme="1"/>
        <rFont val="宋体"/>
        <family val="3"/>
        <charset val="134"/>
      </rPr>
      <t>年一遇</t>
    </r>
    <phoneticPr fontId="1" type="noConversion"/>
  </si>
  <si>
    <r>
      <t>50</t>
    </r>
    <r>
      <rPr>
        <sz val="11"/>
        <color theme="1"/>
        <rFont val="宋体"/>
        <family val="3"/>
        <charset val="134"/>
      </rPr>
      <t>年一遇</t>
    </r>
    <phoneticPr fontId="1" type="noConversion"/>
  </si>
  <si>
    <r>
      <t>100</t>
    </r>
    <r>
      <rPr>
        <sz val="11"/>
        <color theme="1"/>
        <rFont val="宋体"/>
        <family val="3"/>
        <charset val="134"/>
      </rPr>
      <t>年一遇</t>
    </r>
    <phoneticPr fontId="1" type="noConversion"/>
  </si>
  <si>
    <r>
      <rPr>
        <sz val="11"/>
        <color theme="1"/>
        <rFont val="宋体"/>
        <family val="3"/>
        <charset val="134"/>
      </rPr>
      <t>固定重现期下，不同干旱等级径流量削减率（较前者）</t>
    </r>
    <phoneticPr fontId="1" type="noConversion"/>
  </si>
  <si>
    <r>
      <rPr>
        <sz val="11"/>
        <color theme="1"/>
        <rFont val="宋体"/>
        <family val="3"/>
        <charset val="134"/>
      </rPr>
      <t>无干旱</t>
    </r>
    <phoneticPr fontId="1" type="noConversion"/>
  </si>
  <si>
    <t>固定干旱场景，不同重现期径流量增加率（较前者）；以及不同干旱场景下，增加率对比</t>
    <phoneticPr fontId="1" type="noConversion"/>
  </si>
  <si>
    <t>固定干旱场景，不同重现期径流量增加率（较10a）；以及不同干旱场景下，增加率对比</t>
    <phoneticPr fontId="1" type="noConversion"/>
  </si>
  <si>
    <r>
      <rPr>
        <sz val="11"/>
        <color theme="1"/>
        <rFont val="等线"/>
        <family val="3"/>
        <charset val="134"/>
      </rPr>
      <t>无-</t>
    </r>
    <r>
      <rPr>
        <sz val="11"/>
        <color theme="1"/>
        <rFont val="宋体"/>
        <family val="3"/>
        <charset val="134"/>
      </rPr>
      <t>轻度干旱</t>
    </r>
    <phoneticPr fontId="1" type="noConversion"/>
  </si>
  <si>
    <r>
      <rPr>
        <sz val="11"/>
        <color theme="1"/>
        <rFont val="宋体"/>
        <family val="3"/>
        <charset val="134"/>
      </rPr>
      <t>无</t>
    </r>
    <r>
      <rPr>
        <sz val="11"/>
        <color theme="1"/>
        <rFont val="Times New Roman"/>
        <family val="3"/>
      </rPr>
      <t>-</t>
    </r>
    <r>
      <rPr>
        <sz val="11"/>
        <color theme="1"/>
        <rFont val="宋体"/>
        <family val="3"/>
        <charset val="134"/>
      </rPr>
      <t>中度干旱</t>
    </r>
    <phoneticPr fontId="1" type="noConversion"/>
  </si>
  <si>
    <r>
      <rPr>
        <sz val="11"/>
        <color theme="1"/>
        <rFont val="宋体"/>
        <family val="3"/>
        <charset val="134"/>
      </rPr>
      <t>无</t>
    </r>
    <r>
      <rPr>
        <sz val="11"/>
        <color theme="1"/>
        <rFont val="Times New Roman"/>
        <family val="3"/>
      </rPr>
      <t>-</t>
    </r>
    <r>
      <rPr>
        <sz val="11"/>
        <color theme="1"/>
        <rFont val="宋体"/>
        <family val="3"/>
        <charset val="134"/>
      </rPr>
      <t>严重干旱</t>
    </r>
    <phoneticPr fontId="1" type="noConversion"/>
  </si>
  <si>
    <r>
      <rPr>
        <sz val="11"/>
        <color theme="1"/>
        <rFont val="宋体"/>
        <family val="3"/>
        <charset val="134"/>
      </rPr>
      <t>无</t>
    </r>
    <r>
      <rPr>
        <sz val="11"/>
        <color theme="1"/>
        <rFont val="Times New Roman"/>
        <family val="3"/>
      </rPr>
      <t>-</t>
    </r>
    <r>
      <rPr>
        <sz val="11"/>
        <color theme="1"/>
        <rFont val="宋体"/>
        <family val="3"/>
        <charset val="134"/>
      </rPr>
      <t>特大干旱</t>
    </r>
    <phoneticPr fontId="1" type="noConversion"/>
  </si>
  <si>
    <r>
      <rPr>
        <sz val="11"/>
        <color theme="1"/>
        <rFont val="宋体"/>
        <family val="3"/>
        <charset val="134"/>
      </rPr>
      <t>无</t>
    </r>
    <r>
      <rPr>
        <sz val="11"/>
        <color theme="1"/>
        <rFont val="Times New Roman"/>
        <family val="3"/>
      </rPr>
      <t>-</t>
    </r>
    <r>
      <rPr>
        <sz val="11"/>
        <color theme="1"/>
        <rFont val="宋体"/>
        <family val="3"/>
        <charset val="134"/>
      </rPr>
      <t>极端干旱</t>
    </r>
    <phoneticPr fontId="1" type="noConversion"/>
  </si>
  <si>
    <r>
      <t>1</t>
    </r>
    <r>
      <rPr>
        <sz val="11"/>
        <color theme="1"/>
        <rFont val="宋体"/>
        <family val="1"/>
        <charset val="134"/>
      </rPr>
      <t>年一遇</t>
    </r>
    <phoneticPr fontId="1" type="noConversion"/>
  </si>
  <si>
    <r>
      <t>2</t>
    </r>
    <r>
      <rPr>
        <sz val="11"/>
        <color theme="1"/>
        <rFont val="宋体"/>
        <family val="1"/>
        <charset val="134"/>
      </rPr>
      <t>年一遇</t>
    </r>
    <phoneticPr fontId="1" type="noConversion"/>
  </si>
  <si>
    <r>
      <t>3</t>
    </r>
    <r>
      <rPr>
        <sz val="11"/>
        <color theme="1"/>
        <rFont val="宋体"/>
        <family val="1"/>
        <charset val="134"/>
      </rPr>
      <t>年一遇</t>
    </r>
    <phoneticPr fontId="1" type="noConversion"/>
  </si>
  <si>
    <r>
      <t>5</t>
    </r>
    <r>
      <rPr>
        <sz val="11"/>
        <color theme="1"/>
        <rFont val="宋体"/>
        <family val="1"/>
        <charset val="134"/>
      </rPr>
      <t>年一遇</t>
    </r>
    <phoneticPr fontId="1" type="noConversion"/>
  </si>
  <si>
    <t>固定干旱场景，不同重现期径流量增加率（较1a）；以及不同干旱场景下，增加率对比</t>
    <phoneticPr fontId="1" type="noConversion"/>
  </si>
  <si>
    <t>1a</t>
    <phoneticPr fontId="1" type="noConversion"/>
  </si>
  <si>
    <t>2a</t>
    <phoneticPr fontId="1" type="noConversion"/>
  </si>
  <si>
    <t>3a</t>
    <phoneticPr fontId="1" type="noConversion"/>
  </si>
  <si>
    <t>5a</t>
    <phoneticPr fontId="1" type="noConversion"/>
  </si>
  <si>
    <t>10a</t>
    <phoneticPr fontId="1" type="noConversion"/>
  </si>
  <si>
    <t>30a</t>
    <phoneticPr fontId="1" type="noConversion"/>
  </si>
  <si>
    <t>50a</t>
    <phoneticPr fontId="1" type="noConversion"/>
  </si>
  <si>
    <t>100a</t>
    <phoneticPr fontId="1" type="noConversion"/>
  </si>
  <si>
    <t>1a→2a</t>
    <phoneticPr fontId="1" type="noConversion"/>
  </si>
  <si>
    <t>2a→3a</t>
    <phoneticPr fontId="1" type="noConversion"/>
  </si>
  <si>
    <t>3a→5a</t>
    <phoneticPr fontId="1" type="noConversion"/>
  </si>
  <si>
    <t>5a→10a</t>
    <phoneticPr fontId="1" type="noConversion"/>
  </si>
  <si>
    <t>10a→30a</t>
    <phoneticPr fontId="1" type="noConversion"/>
  </si>
  <si>
    <t>30a→50a</t>
    <phoneticPr fontId="1" type="noConversion"/>
  </si>
  <si>
    <t>50a→100a</t>
    <phoneticPr fontId="1" type="noConversion"/>
  </si>
  <si>
    <r>
      <rPr>
        <sz val="11"/>
        <color theme="1"/>
        <rFont val="等线"/>
        <family val="3"/>
        <charset val="134"/>
      </rPr>
      <t>无→</t>
    </r>
    <r>
      <rPr>
        <sz val="11"/>
        <color theme="1"/>
        <rFont val="宋体"/>
        <family val="3"/>
        <charset val="134"/>
      </rPr>
      <t>轻度</t>
    </r>
    <phoneticPr fontId="1" type="noConversion"/>
  </si>
  <si>
    <r>
      <rPr>
        <sz val="11"/>
        <color theme="1"/>
        <rFont val="等线"/>
        <family val="3"/>
        <charset val="134"/>
      </rPr>
      <t>无→</t>
    </r>
    <r>
      <rPr>
        <sz val="11"/>
        <color theme="1"/>
        <rFont val="宋体"/>
        <family val="3"/>
        <charset val="134"/>
      </rPr>
      <t>中度</t>
    </r>
    <phoneticPr fontId="1" type="noConversion"/>
  </si>
  <si>
    <r>
      <rPr>
        <sz val="11"/>
        <color theme="1"/>
        <rFont val="等线"/>
        <family val="3"/>
        <charset val="134"/>
      </rPr>
      <t>无→</t>
    </r>
    <r>
      <rPr>
        <sz val="11"/>
        <color theme="1"/>
        <rFont val="宋体"/>
        <family val="3"/>
        <charset val="134"/>
      </rPr>
      <t>严重</t>
    </r>
    <phoneticPr fontId="1" type="noConversion"/>
  </si>
  <si>
    <r>
      <rPr>
        <sz val="11"/>
        <color theme="1"/>
        <rFont val="等线"/>
        <family val="3"/>
        <charset val="134"/>
      </rPr>
      <t>无→</t>
    </r>
    <r>
      <rPr>
        <sz val="11"/>
        <color theme="1"/>
        <rFont val="宋体"/>
        <family val="3"/>
        <charset val="134"/>
      </rPr>
      <t>特大</t>
    </r>
    <phoneticPr fontId="1" type="noConversion"/>
  </si>
  <si>
    <r>
      <rPr>
        <sz val="11"/>
        <color theme="1"/>
        <rFont val="等线"/>
        <family val="3"/>
        <charset val="134"/>
      </rPr>
      <t>无→</t>
    </r>
    <r>
      <rPr>
        <sz val="11"/>
        <color theme="1"/>
        <rFont val="宋体"/>
        <family val="3"/>
        <charset val="134"/>
      </rPr>
      <t>极端</t>
    </r>
    <phoneticPr fontId="1" type="noConversion"/>
  </si>
  <si>
    <t>固定重现期下，不同干旱等级径流量削减率（较无干旱）</t>
    <phoneticPr fontId="1" type="noConversion"/>
  </si>
  <si>
    <t>无→轻度</t>
    <phoneticPr fontId="1" type="noConversion"/>
  </si>
  <si>
    <t>轻度→中度</t>
    <phoneticPr fontId="1" type="noConversion"/>
  </si>
  <si>
    <t>中度→严重</t>
    <phoneticPr fontId="1" type="noConversion"/>
  </si>
  <si>
    <t>严重→特大</t>
    <phoneticPr fontId="1" type="noConversion"/>
  </si>
  <si>
    <t>特大→极端</t>
    <phoneticPr fontId="1" type="noConversion"/>
  </si>
  <si>
    <t>1a→3a</t>
    <phoneticPr fontId="1" type="noConversion"/>
  </si>
  <si>
    <t>1a→5a</t>
    <phoneticPr fontId="1" type="noConversion"/>
  </si>
  <si>
    <t>1a→10a</t>
    <phoneticPr fontId="1" type="noConversion"/>
  </si>
  <si>
    <t>1a→30a</t>
    <phoneticPr fontId="1" type="noConversion"/>
  </si>
  <si>
    <t>1a→50a</t>
    <phoneticPr fontId="1" type="noConversion"/>
  </si>
  <si>
    <t>1a→100a</t>
    <phoneticPr fontId="1" type="noConversion"/>
  </si>
  <si>
    <t>无干旱</t>
    <phoneticPr fontId="1" type="noConversion"/>
  </si>
  <si>
    <r>
      <rPr>
        <sz val="11"/>
        <color theme="1"/>
        <rFont val="宋体"/>
        <family val="3"/>
        <charset val="134"/>
      </rPr>
      <t>固定重现期下，不同干旱等级</t>
    </r>
    <r>
      <rPr>
        <sz val="11"/>
        <color theme="1"/>
        <rFont val="等线"/>
        <family val="3"/>
        <charset val="134"/>
      </rPr>
      <t>最大地表积水</t>
    </r>
    <r>
      <rPr>
        <sz val="11"/>
        <color theme="1"/>
        <rFont val="宋体"/>
        <family val="3"/>
        <charset val="134"/>
      </rPr>
      <t>削减率（较无干旱）</t>
    </r>
    <phoneticPr fontId="1" type="noConversion"/>
  </si>
  <si>
    <r>
      <rPr>
        <sz val="11"/>
        <color theme="1"/>
        <rFont val="宋体"/>
        <family val="3"/>
        <charset val="134"/>
      </rPr>
      <t>固定重现期下，不同干旱等级</t>
    </r>
    <r>
      <rPr>
        <sz val="11"/>
        <color theme="1"/>
        <rFont val="等线"/>
        <family val="3"/>
        <charset val="134"/>
      </rPr>
      <t>最大地表积水</t>
    </r>
    <r>
      <rPr>
        <sz val="11"/>
        <color theme="1"/>
        <rFont val="宋体"/>
        <family val="3"/>
        <charset val="134"/>
      </rPr>
      <t>削减率（较前者）</t>
    </r>
    <phoneticPr fontId="1" type="noConversion"/>
  </si>
  <si>
    <t>最大积水时刻积水量</t>
    <phoneticPr fontId="1" type="noConversion"/>
  </si>
  <si>
    <r>
      <rPr>
        <b/>
        <sz val="11"/>
        <color theme="1"/>
        <rFont val="宋体"/>
        <family val="3"/>
        <charset val="134"/>
      </rPr>
      <t>时间</t>
    </r>
  </si>
  <si>
    <r>
      <rPr>
        <b/>
        <sz val="11"/>
        <color theme="1"/>
        <rFont val="宋体"/>
        <family val="3"/>
        <charset val="134"/>
      </rPr>
      <t>无干旱</t>
    </r>
    <r>
      <rPr>
        <b/>
        <sz val="11"/>
        <color theme="1"/>
        <rFont val="Times New Roman"/>
        <family val="1"/>
      </rPr>
      <t>-1a</t>
    </r>
    <phoneticPr fontId="1" type="noConversion"/>
  </si>
  <si>
    <r>
      <rPr>
        <b/>
        <sz val="11"/>
        <color theme="1"/>
        <rFont val="宋体"/>
        <family val="3"/>
        <charset val="134"/>
      </rPr>
      <t>轻度</t>
    </r>
    <r>
      <rPr>
        <b/>
        <sz val="11"/>
        <color theme="1"/>
        <rFont val="Times New Roman"/>
        <family val="1"/>
      </rPr>
      <t>-1a</t>
    </r>
  </si>
  <si>
    <r>
      <rPr>
        <b/>
        <sz val="11"/>
        <color theme="1"/>
        <rFont val="宋体"/>
        <family val="3"/>
        <charset val="134"/>
      </rPr>
      <t>中度</t>
    </r>
    <r>
      <rPr>
        <b/>
        <sz val="11"/>
        <color theme="1"/>
        <rFont val="Times New Roman"/>
        <family val="1"/>
      </rPr>
      <t>-1a</t>
    </r>
  </si>
  <si>
    <r>
      <rPr>
        <b/>
        <sz val="11"/>
        <color theme="1"/>
        <rFont val="宋体"/>
        <family val="3"/>
        <charset val="134"/>
      </rPr>
      <t>严重</t>
    </r>
    <r>
      <rPr>
        <b/>
        <sz val="11"/>
        <color theme="1"/>
        <rFont val="Times New Roman"/>
        <family val="1"/>
      </rPr>
      <t>-1a</t>
    </r>
  </si>
  <si>
    <r>
      <rPr>
        <b/>
        <sz val="11"/>
        <color theme="1"/>
        <rFont val="宋体"/>
        <family val="3"/>
        <charset val="134"/>
      </rPr>
      <t>特大</t>
    </r>
    <r>
      <rPr>
        <b/>
        <sz val="11"/>
        <color theme="1"/>
        <rFont val="Times New Roman"/>
        <family val="1"/>
      </rPr>
      <t>-1a</t>
    </r>
  </si>
  <si>
    <r>
      <rPr>
        <b/>
        <sz val="11"/>
        <color theme="1"/>
        <rFont val="宋体"/>
        <family val="3"/>
        <charset val="134"/>
      </rPr>
      <t>极端</t>
    </r>
    <r>
      <rPr>
        <b/>
        <sz val="11"/>
        <color theme="1"/>
        <rFont val="Times New Roman"/>
        <family val="1"/>
      </rPr>
      <t>-1a</t>
    </r>
  </si>
  <si>
    <r>
      <rPr>
        <b/>
        <sz val="11"/>
        <color theme="1"/>
        <rFont val="宋体"/>
        <family val="3"/>
        <charset val="134"/>
      </rPr>
      <t>无干旱</t>
    </r>
    <r>
      <rPr>
        <b/>
        <sz val="11"/>
        <color theme="1"/>
        <rFont val="Times New Roman"/>
        <family val="1"/>
      </rPr>
      <t>-2a</t>
    </r>
  </si>
  <si>
    <r>
      <rPr>
        <b/>
        <sz val="11"/>
        <color theme="1"/>
        <rFont val="宋体"/>
        <family val="3"/>
        <charset val="134"/>
      </rPr>
      <t>轻度</t>
    </r>
    <r>
      <rPr>
        <b/>
        <sz val="11"/>
        <color theme="1"/>
        <rFont val="Times New Roman"/>
        <family val="1"/>
      </rPr>
      <t>-2a</t>
    </r>
  </si>
  <si>
    <r>
      <rPr>
        <b/>
        <sz val="11"/>
        <color theme="1"/>
        <rFont val="宋体"/>
        <family val="3"/>
        <charset val="134"/>
      </rPr>
      <t>中度</t>
    </r>
    <r>
      <rPr>
        <b/>
        <sz val="11"/>
        <color theme="1"/>
        <rFont val="Times New Roman"/>
        <family val="1"/>
      </rPr>
      <t>-2a</t>
    </r>
  </si>
  <si>
    <r>
      <rPr>
        <b/>
        <sz val="11"/>
        <color theme="1"/>
        <rFont val="宋体"/>
        <family val="3"/>
        <charset val="134"/>
      </rPr>
      <t>严重</t>
    </r>
    <r>
      <rPr>
        <b/>
        <sz val="11"/>
        <color theme="1"/>
        <rFont val="Times New Roman"/>
        <family val="1"/>
      </rPr>
      <t>-2a</t>
    </r>
  </si>
  <si>
    <r>
      <rPr>
        <b/>
        <sz val="11"/>
        <color theme="1"/>
        <rFont val="宋体"/>
        <family val="3"/>
        <charset val="134"/>
      </rPr>
      <t>特大</t>
    </r>
    <r>
      <rPr>
        <b/>
        <sz val="11"/>
        <color theme="1"/>
        <rFont val="Times New Roman"/>
        <family val="1"/>
      </rPr>
      <t>-2a</t>
    </r>
  </si>
  <si>
    <r>
      <rPr>
        <b/>
        <sz val="11"/>
        <color theme="1"/>
        <rFont val="宋体"/>
        <family val="3"/>
        <charset val="134"/>
      </rPr>
      <t>极端</t>
    </r>
    <r>
      <rPr>
        <b/>
        <sz val="11"/>
        <color theme="1"/>
        <rFont val="Times New Roman"/>
        <family val="1"/>
      </rPr>
      <t>-2a</t>
    </r>
  </si>
  <si>
    <r>
      <rPr>
        <b/>
        <sz val="11"/>
        <color theme="1"/>
        <rFont val="宋体"/>
        <family val="3"/>
        <charset val="134"/>
      </rPr>
      <t>无干旱</t>
    </r>
    <r>
      <rPr>
        <b/>
        <sz val="11"/>
        <color theme="1"/>
        <rFont val="Times New Roman"/>
        <family val="1"/>
      </rPr>
      <t>-3a</t>
    </r>
  </si>
  <si>
    <r>
      <rPr>
        <b/>
        <sz val="11"/>
        <color theme="1"/>
        <rFont val="宋体"/>
        <family val="3"/>
        <charset val="134"/>
      </rPr>
      <t>轻度</t>
    </r>
    <r>
      <rPr>
        <b/>
        <sz val="11"/>
        <color theme="1"/>
        <rFont val="Times New Roman"/>
        <family val="1"/>
      </rPr>
      <t>-3a</t>
    </r>
  </si>
  <si>
    <r>
      <rPr>
        <b/>
        <sz val="11"/>
        <color theme="1"/>
        <rFont val="宋体"/>
        <family val="3"/>
        <charset val="134"/>
      </rPr>
      <t>中度</t>
    </r>
    <r>
      <rPr>
        <b/>
        <sz val="11"/>
        <color theme="1"/>
        <rFont val="Times New Roman"/>
        <family val="1"/>
      </rPr>
      <t>-3a</t>
    </r>
  </si>
  <si>
    <r>
      <rPr>
        <b/>
        <sz val="11"/>
        <color theme="1"/>
        <rFont val="宋体"/>
        <family val="3"/>
        <charset val="134"/>
      </rPr>
      <t>严重</t>
    </r>
    <r>
      <rPr>
        <b/>
        <sz val="11"/>
        <color theme="1"/>
        <rFont val="Times New Roman"/>
        <family val="1"/>
      </rPr>
      <t>-3a</t>
    </r>
  </si>
  <si>
    <r>
      <rPr>
        <b/>
        <sz val="11"/>
        <color theme="1"/>
        <rFont val="宋体"/>
        <family val="3"/>
        <charset val="134"/>
      </rPr>
      <t>特大</t>
    </r>
    <r>
      <rPr>
        <b/>
        <sz val="11"/>
        <color theme="1"/>
        <rFont val="Times New Roman"/>
        <family val="1"/>
      </rPr>
      <t>-3a</t>
    </r>
  </si>
  <si>
    <r>
      <rPr>
        <b/>
        <sz val="11"/>
        <color theme="1"/>
        <rFont val="宋体"/>
        <family val="3"/>
        <charset val="134"/>
      </rPr>
      <t>极端</t>
    </r>
    <r>
      <rPr>
        <b/>
        <sz val="11"/>
        <color theme="1"/>
        <rFont val="Times New Roman"/>
        <family val="1"/>
      </rPr>
      <t>-3a</t>
    </r>
  </si>
  <si>
    <r>
      <rPr>
        <b/>
        <sz val="11"/>
        <color theme="1"/>
        <rFont val="宋体"/>
        <family val="3"/>
        <charset val="134"/>
      </rPr>
      <t>无</t>
    </r>
    <r>
      <rPr>
        <b/>
        <sz val="11"/>
        <color theme="1"/>
        <rFont val="Times New Roman"/>
        <family val="1"/>
      </rPr>
      <t>-5a</t>
    </r>
  </si>
  <si>
    <r>
      <rPr>
        <b/>
        <sz val="11"/>
        <color theme="1"/>
        <rFont val="宋体"/>
        <family val="3"/>
        <charset val="134"/>
      </rPr>
      <t>轻度</t>
    </r>
    <r>
      <rPr>
        <b/>
        <sz val="11"/>
        <color theme="1"/>
        <rFont val="Times New Roman"/>
        <family val="1"/>
      </rPr>
      <t>-5a</t>
    </r>
  </si>
  <si>
    <r>
      <rPr>
        <b/>
        <sz val="11"/>
        <color theme="1"/>
        <rFont val="宋体"/>
        <family val="3"/>
        <charset val="134"/>
      </rPr>
      <t>中度</t>
    </r>
    <r>
      <rPr>
        <b/>
        <sz val="11"/>
        <color theme="1"/>
        <rFont val="Times New Roman"/>
        <family val="1"/>
      </rPr>
      <t>-5a</t>
    </r>
  </si>
  <si>
    <r>
      <rPr>
        <b/>
        <sz val="11"/>
        <color theme="1"/>
        <rFont val="宋体"/>
        <family val="3"/>
        <charset val="134"/>
      </rPr>
      <t>严重</t>
    </r>
    <r>
      <rPr>
        <b/>
        <sz val="11"/>
        <color theme="1"/>
        <rFont val="Times New Roman"/>
        <family val="1"/>
      </rPr>
      <t>-5a</t>
    </r>
  </si>
  <si>
    <r>
      <rPr>
        <b/>
        <sz val="11"/>
        <color theme="1"/>
        <rFont val="宋体"/>
        <family val="3"/>
        <charset val="134"/>
      </rPr>
      <t>特大</t>
    </r>
    <r>
      <rPr>
        <b/>
        <sz val="11"/>
        <color theme="1"/>
        <rFont val="Times New Roman"/>
        <family val="1"/>
      </rPr>
      <t>-5a</t>
    </r>
  </si>
  <si>
    <r>
      <rPr>
        <b/>
        <sz val="11"/>
        <color theme="1"/>
        <rFont val="宋体"/>
        <family val="3"/>
        <charset val="134"/>
      </rPr>
      <t>极端</t>
    </r>
    <r>
      <rPr>
        <b/>
        <sz val="11"/>
        <color theme="1"/>
        <rFont val="Times New Roman"/>
        <family val="1"/>
      </rPr>
      <t>-5a</t>
    </r>
  </si>
  <si>
    <r>
      <rPr>
        <b/>
        <sz val="11"/>
        <color theme="1"/>
        <rFont val="宋体"/>
        <family val="3"/>
        <charset val="134"/>
      </rPr>
      <t>无干旱</t>
    </r>
    <r>
      <rPr>
        <b/>
        <sz val="11"/>
        <color theme="1"/>
        <rFont val="Times New Roman"/>
        <family val="1"/>
      </rPr>
      <t>-10a</t>
    </r>
  </si>
  <si>
    <r>
      <rPr>
        <b/>
        <sz val="11"/>
        <color theme="1"/>
        <rFont val="宋体"/>
        <family val="3"/>
        <charset val="134"/>
      </rPr>
      <t>轻度</t>
    </r>
    <r>
      <rPr>
        <b/>
        <sz val="11"/>
        <color theme="1"/>
        <rFont val="Times New Roman"/>
        <family val="1"/>
      </rPr>
      <t>-10a</t>
    </r>
  </si>
  <si>
    <r>
      <rPr>
        <b/>
        <sz val="11"/>
        <color theme="1"/>
        <rFont val="宋体"/>
        <family val="3"/>
        <charset val="134"/>
      </rPr>
      <t>中度</t>
    </r>
    <r>
      <rPr>
        <b/>
        <sz val="11"/>
        <color theme="1"/>
        <rFont val="Times New Roman"/>
        <family val="1"/>
      </rPr>
      <t>-10a</t>
    </r>
  </si>
  <si>
    <r>
      <rPr>
        <b/>
        <sz val="11"/>
        <color theme="1"/>
        <rFont val="宋体"/>
        <family val="3"/>
        <charset val="134"/>
      </rPr>
      <t>严重</t>
    </r>
    <r>
      <rPr>
        <b/>
        <sz val="11"/>
        <color theme="1"/>
        <rFont val="Times New Roman"/>
        <family val="1"/>
      </rPr>
      <t>-10a</t>
    </r>
  </si>
  <si>
    <r>
      <rPr>
        <b/>
        <sz val="11"/>
        <color theme="1"/>
        <rFont val="宋体"/>
        <family val="3"/>
        <charset val="134"/>
      </rPr>
      <t>特大</t>
    </r>
    <r>
      <rPr>
        <b/>
        <sz val="11"/>
        <color theme="1"/>
        <rFont val="Times New Roman"/>
        <family val="1"/>
      </rPr>
      <t>-10a</t>
    </r>
  </si>
  <si>
    <r>
      <rPr>
        <b/>
        <sz val="11"/>
        <color theme="1"/>
        <rFont val="宋体"/>
        <family val="3"/>
        <charset val="134"/>
      </rPr>
      <t>极端</t>
    </r>
    <r>
      <rPr>
        <b/>
        <sz val="11"/>
        <color theme="1"/>
        <rFont val="Times New Roman"/>
        <family val="1"/>
      </rPr>
      <t>-10a</t>
    </r>
  </si>
  <si>
    <r>
      <rPr>
        <b/>
        <sz val="11"/>
        <color theme="1"/>
        <rFont val="宋体"/>
        <family val="3"/>
        <charset val="134"/>
      </rPr>
      <t>无干旱</t>
    </r>
    <r>
      <rPr>
        <b/>
        <sz val="11"/>
        <color theme="1"/>
        <rFont val="Times New Roman"/>
        <family val="1"/>
      </rPr>
      <t>-30a</t>
    </r>
  </si>
  <si>
    <r>
      <rPr>
        <b/>
        <sz val="11"/>
        <color theme="1"/>
        <rFont val="宋体"/>
        <family val="3"/>
        <charset val="134"/>
      </rPr>
      <t>轻度</t>
    </r>
    <r>
      <rPr>
        <b/>
        <sz val="11"/>
        <color theme="1"/>
        <rFont val="Times New Roman"/>
        <family val="1"/>
      </rPr>
      <t>-30a</t>
    </r>
  </si>
  <si>
    <r>
      <rPr>
        <b/>
        <sz val="11"/>
        <color theme="1"/>
        <rFont val="宋体"/>
        <family val="3"/>
        <charset val="134"/>
      </rPr>
      <t>中度</t>
    </r>
    <r>
      <rPr>
        <b/>
        <sz val="11"/>
        <color theme="1"/>
        <rFont val="Times New Roman"/>
        <family val="1"/>
      </rPr>
      <t>-30a</t>
    </r>
  </si>
  <si>
    <r>
      <rPr>
        <b/>
        <sz val="11"/>
        <color theme="1"/>
        <rFont val="宋体"/>
        <family val="3"/>
        <charset val="134"/>
      </rPr>
      <t>严重</t>
    </r>
    <r>
      <rPr>
        <b/>
        <sz val="11"/>
        <color theme="1"/>
        <rFont val="Times New Roman"/>
        <family val="1"/>
      </rPr>
      <t>-30a</t>
    </r>
  </si>
  <si>
    <r>
      <rPr>
        <b/>
        <sz val="11"/>
        <color theme="1"/>
        <rFont val="宋体"/>
        <family val="3"/>
        <charset val="134"/>
      </rPr>
      <t>特大</t>
    </r>
    <r>
      <rPr>
        <b/>
        <sz val="11"/>
        <color theme="1"/>
        <rFont val="Times New Roman"/>
        <family val="1"/>
      </rPr>
      <t>-30a</t>
    </r>
  </si>
  <si>
    <r>
      <rPr>
        <b/>
        <sz val="11"/>
        <color theme="1"/>
        <rFont val="宋体"/>
        <family val="3"/>
        <charset val="134"/>
      </rPr>
      <t>极端</t>
    </r>
    <r>
      <rPr>
        <b/>
        <sz val="11"/>
        <color theme="1"/>
        <rFont val="Times New Roman"/>
        <family val="1"/>
      </rPr>
      <t>-30a</t>
    </r>
  </si>
  <si>
    <r>
      <rPr>
        <b/>
        <sz val="11"/>
        <color theme="1"/>
        <rFont val="宋体"/>
        <family val="3"/>
        <charset val="134"/>
      </rPr>
      <t>无干旱</t>
    </r>
    <r>
      <rPr>
        <b/>
        <sz val="11"/>
        <color theme="1"/>
        <rFont val="Times New Roman"/>
        <family val="1"/>
      </rPr>
      <t>-50a</t>
    </r>
  </si>
  <si>
    <r>
      <rPr>
        <b/>
        <sz val="11"/>
        <color theme="1"/>
        <rFont val="宋体"/>
        <family val="3"/>
        <charset val="134"/>
      </rPr>
      <t>轻度</t>
    </r>
    <r>
      <rPr>
        <b/>
        <sz val="11"/>
        <color theme="1"/>
        <rFont val="Times New Roman"/>
        <family val="1"/>
      </rPr>
      <t>-50a</t>
    </r>
  </si>
  <si>
    <r>
      <rPr>
        <b/>
        <sz val="11"/>
        <color theme="1"/>
        <rFont val="宋体"/>
        <family val="3"/>
        <charset val="134"/>
      </rPr>
      <t>中度</t>
    </r>
    <r>
      <rPr>
        <b/>
        <sz val="11"/>
        <color theme="1"/>
        <rFont val="Times New Roman"/>
        <family val="1"/>
      </rPr>
      <t>-50a</t>
    </r>
  </si>
  <si>
    <r>
      <rPr>
        <b/>
        <sz val="11"/>
        <color theme="1"/>
        <rFont val="宋体"/>
        <family val="3"/>
        <charset val="134"/>
      </rPr>
      <t>严重</t>
    </r>
    <r>
      <rPr>
        <b/>
        <sz val="11"/>
        <color theme="1"/>
        <rFont val="Times New Roman"/>
        <family val="1"/>
      </rPr>
      <t>-50a</t>
    </r>
  </si>
  <si>
    <r>
      <rPr>
        <b/>
        <sz val="11"/>
        <color theme="1"/>
        <rFont val="宋体"/>
        <family val="3"/>
        <charset val="134"/>
      </rPr>
      <t>特大</t>
    </r>
    <r>
      <rPr>
        <b/>
        <sz val="11"/>
        <color theme="1"/>
        <rFont val="Times New Roman"/>
        <family val="1"/>
      </rPr>
      <t>-50a</t>
    </r>
  </si>
  <si>
    <r>
      <rPr>
        <b/>
        <sz val="11"/>
        <color theme="1"/>
        <rFont val="宋体"/>
        <family val="3"/>
        <charset val="134"/>
      </rPr>
      <t>极端</t>
    </r>
    <r>
      <rPr>
        <b/>
        <sz val="11"/>
        <color theme="1"/>
        <rFont val="Times New Roman"/>
        <family val="1"/>
      </rPr>
      <t>-50a</t>
    </r>
  </si>
  <si>
    <r>
      <rPr>
        <b/>
        <sz val="11"/>
        <color theme="1"/>
        <rFont val="宋体"/>
        <family val="3"/>
        <charset val="134"/>
      </rPr>
      <t>无干旱</t>
    </r>
    <r>
      <rPr>
        <b/>
        <sz val="11"/>
        <color theme="1"/>
        <rFont val="Times New Roman"/>
        <family val="1"/>
      </rPr>
      <t>-100a</t>
    </r>
  </si>
  <si>
    <r>
      <rPr>
        <b/>
        <sz val="11"/>
        <color theme="1"/>
        <rFont val="宋体"/>
        <family val="3"/>
        <charset val="134"/>
      </rPr>
      <t>轻度</t>
    </r>
    <r>
      <rPr>
        <b/>
        <sz val="11"/>
        <color theme="1"/>
        <rFont val="Times New Roman"/>
        <family val="1"/>
      </rPr>
      <t>-100a</t>
    </r>
  </si>
  <si>
    <r>
      <rPr>
        <b/>
        <sz val="11"/>
        <color theme="1"/>
        <rFont val="宋体"/>
        <family val="3"/>
        <charset val="134"/>
      </rPr>
      <t>中度</t>
    </r>
    <r>
      <rPr>
        <b/>
        <sz val="11"/>
        <color theme="1"/>
        <rFont val="Times New Roman"/>
        <family val="1"/>
      </rPr>
      <t>-100a</t>
    </r>
  </si>
  <si>
    <r>
      <rPr>
        <b/>
        <sz val="11"/>
        <color theme="1"/>
        <rFont val="宋体"/>
        <family val="3"/>
        <charset val="134"/>
      </rPr>
      <t>严重</t>
    </r>
    <r>
      <rPr>
        <b/>
        <sz val="11"/>
        <color theme="1"/>
        <rFont val="Times New Roman"/>
        <family val="1"/>
      </rPr>
      <t>-100a</t>
    </r>
  </si>
  <si>
    <r>
      <rPr>
        <b/>
        <sz val="11"/>
        <color theme="1"/>
        <rFont val="宋体"/>
        <family val="3"/>
        <charset val="134"/>
      </rPr>
      <t>特大</t>
    </r>
    <r>
      <rPr>
        <b/>
        <sz val="11"/>
        <color theme="1"/>
        <rFont val="Times New Roman"/>
        <family val="1"/>
      </rPr>
      <t>-100a</t>
    </r>
  </si>
  <si>
    <r>
      <rPr>
        <b/>
        <sz val="11"/>
        <color theme="1"/>
        <rFont val="宋体"/>
        <family val="3"/>
        <charset val="134"/>
      </rPr>
      <t>极端</t>
    </r>
    <r>
      <rPr>
        <b/>
        <sz val="11"/>
        <color theme="1"/>
        <rFont val="Times New Roman"/>
        <family val="1"/>
      </rPr>
      <t>-100a</t>
    </r>
  </si>
  <si>
    <r>
      <rPr>
        <b/>
        <sz val="11"/>
        <color theme="1"/>
        <rFont val="等线"/>
        <family val="3"/>
        <charset val="134"/>
      </rPr>
      <t>最大积水时刻积水量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</si>
</sst>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80" formatCode="0.000_);[Red]\(0.000\)"/>
  </numFmts>
  <fonts count="2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11"/>
      <color rgb="FF7030A0"/>
      <name val="Times New Roman"/>
      <family val="1"/>
    </font>
    <font>
      <sz val="11"/>
      <color theme="1"/>
      <name val="等线"/>
      <family val="1"/>
      <charset val="134"/>
    </font>
    <font>
      <sz val="11"/>
      <color theme="1"/>
      <name val="Times New Roman"/>
      <family val="3"/>
      <charset val="134"/>
    </font>
    <font>
      <sz val="11"/>
      <color theme="7"/>
      <name val="Times New Roman"/>
      <family val="1"/>
    </font>
    <font>
      <b/>
      <sz val="11"/>
      <color theme="5"/>
      <name val="Times New Roman"/>
      <family val="1"/>
    </font>
    <font>
      <sz val="11"/>
      <color theme="1"/>
      <name val="等线"/>
      <family val="3"/>
      <charset val="134"/>
    </font>
    <font>
      <vertAlign val="superscript"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0B0F0"/>
      <name val="Times New Roman"/>
      <family val="1"/>
    </font>
    <font>
      <sz val="11"/>
      <color theme="1"/>
      <name val="Times New Roman"/>
      <family val="3"/>
    </font>
    <font>
      <b/>
      <sz val="11"/>
      <color theme="1"/>
      <name val="宋体"/>
      <family val="3"/>
      <charset val="134"/>
    </font>
    <font>
      <b/>
      <sz val="11"/>
      <color rgb="FF0000FF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</font>
    <font>
      <sz val="11"/>
      <color rgb="FF0000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176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76" fontId="8" fillId="0" borderId="0" xfId="0" applyNumberFormat="1" applyFont="1" applyAlignment="1">
      <alignment horizontal="center"/>
    </xf>
    <xf numFmtId="10" fontId="0" fillId="0" borderId="0" xfId="0" applyNumberFormat="1"/>
    <xf numFmtId="0" fontId="4" fillId="0" borderId="0" xfId="0" applyFont="1" applyAlignment="1">
      <alignment horizontal="center"/>
    </xf>
    <xf numFmtId="176" fontId="9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/>
    <xf numFmtId="176" fontId="3" fillId="0" borderId="0" xfId="0" applyNumberFormat="1" applyFont="1"/>
    <xf numFmtId="176" fontId="12" fillId="0" borderId="0" xfId="0" applyNumberFormat="1" applyFont="1"/>
    <xf numFmtId="0" fontId="3" fillId="3" borderId="0" xfId="0" applyFont="1" applyFill="1"/>
    <xf numFmtId="176" fontId="3" fillId="3" borderId="0" xfId="0" applyNumberFormat="1" applyFont="1" applyFill="1"/>
    <xf numFmtId="0" fontId="4" fillId="3" borderId="0" xfId="0" applyFont="1" applyFill="1"/>
    <xf numFmtId="0" fontId="3" fillId="3" borderId="0" xfId="0" applyFont="1" applyFill="1" applyAlignment="1">
      <alignment horizontal="center"/>
    </xf>
    <xf numFmtId="176" fontId="3" fillId="3" borderId="0" xfId="0" applyNumberFormat="1" applyFont="1" applyFill="1" applyAlignment="1">
      <alignment horizontal="center"/>
    </xf>
    <xf numFmtId="176" fontId="13" fillId="0" borderId="0" xfId="0" applyNumberFormat="1" applyFont="1" applyAlignment="1">
      <alignment horizontal="center"/>
    </xf>
    <xf numFmtId="0" fontId="7" fillId="3" borderId="0" xfId="0" applyFont="1" applyFill="1"/>
    <xf numFmtId="176" fontId="4" fillId="0" borderId="0" xfId="0" applyNumberFormat="1" applyFont="1"/>
    <xf numFmtId="9" fontId="3" fillId="0" borderId="0" xfId="0" applyNumberFormat="1" applyFont="1"/>
    <xf numFmtId="176" fontId="7" fillId="0" borderId="0" xfId="0" applyNumberFormat="1" applyFont="1" applyAlignment="1">
      <alignment horizontal="center"/>
    </xf>
    <xf numFmtId="9" fontId="9" fillId="0" borderId="0" xfId="0" applyNumberFormat="1" applyFont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17" fillId="4" borderId="0" xfId="0" applyFont="1" applyFill="1" applyAlignment="1">
      <alignment vertical="center"/>
    </xf>
    <xf numFmtId="0" fontId="17" fillId="0" borderId="0" xfId="0" applyFont="1"/>
    <xf numFmtId="2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176" fontId="17" fillId="3" borderId="0" xfId="0" applyNumberFormat="1" applyFont="1" applyFill="1" applyAlignment="1">
      <alignment vertical="center"/>
    </xf>
    <xf numFmtId="176" fontId="3" fillId="0" borderId="0" xfId="0" applyNumberFormat="1" applyFont="1" applyAlignment="1">
      <alignment vertical="center"/>
    </xf>
    <xf numFmtId="180" fontId="3" fillId="3" borderId="0" xfId="0" applyNumberFormat="1" applyFont="1" applyFill="1" applyAlignment="1">
      <alignment horizontal="center" vertical="center"/>
    </xf>
    <xf numFmtId="180" fontId="3" fillId="4" borderId="0" xfId="0" applyNumberFormat="1" applyFont="1" applyFill="1" applyAlignment="1">
      <alignment horizontal="center" vertical="center"/>
    </xf>
    <xf numFmtId="180" fontId="3" fillId="3" borderId="0" xfId="0" applyNumberFormat="1" applyFont="1" applyFill="1" applyAlignment="1">
      <alignment vertical="center"/>
    </xf>
    <xf numFmtId="180" fontId="3" fillId="4" borderId="0" xfId="0" applyNumberFormat="1" applyFont="1" applyFill="1" applyAlignment="1">
      <alignment vertical="center"/>
    </xf>
    <xf numFmtId="180" fontId="16" fillId="3" borderId="0" xfId="0" applyNumberFormat="1" applyFont="1" applyFill="1" applyAlignment="1">
      <alignment horizontal="center" vertical="center"/>
    </xf>
    <xf numFmtId="180" fontId="16" fillId="4" borderId="0" xfId="0" applyNumberFormat="1" applyFont="1" applyFill="1" applyAlignment="1">
      <alignment horizontal="center" vertical="center"/>
    </xf>
    <xf numFmtId="180" fontId="16" fillId="3" borderId="0" xfId="0" applyNumberFormat="1" applyFont="1" applyFill="1" applyAlignment="1">
      <alignment vertical="center"/>
    </xf>
    <xf numFmtId="180" fontId="16" fillId="4" borderId="0" xfId="0" applyNumberFormat="1" applyFont="1" applyFill="1" applyAlignment="1">
      <alignment vertical="center"/>
    </xf>
    <xf numFmtId="180" fontId="12" fillId="3" borderId="0" xfId="0" applyNumberFormat="1" applyFont="1" applyFill="1" applyAlignment="1">
      <alignment horizontal="center" vertical="center"/>
    </xf>
    <xf numFmtId="180" fontId="12" fillId="4" borderId="0" xfId="0" applyNumberFormat="1" applyFont="1" applyFill="1" applyAlignment="1">
      <alignment horizontal="center" vertical="center"/>
    </xf>
    <xf numFmtId="180" fontId="12" fillId="3" borderId="0" xfId="0" applyNumberFormat="1" applyFont="1" applyFill="1" applyAlignment="1">
      <alignment vertical="center"/>
    </xf>
    <xf numFmtId="180" fontId="12" fillId="4" borderId="0" xfId="0" applyNumberFormat="1" applyFont="1" applyFill="1" applyAlignment="1">
      <alignment vertical="center"/>
    </xf>
    <xf numFmtId="180" fontId="19" fillId="4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FF00"/>
      <color rgb="FFFFCC00"/>
      <color rgb="FFFFFF00"/>
      <color rgb="FF6600FF"/>
      <color rgb="FFFFFF66"/>
      <color rgb="FF0000FF"/>
      <color rgb="FFFFCC66"/>
      <color rgb="FFF14124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03991028431955"/>
          <c:y val="9.8231727470868696E-2"/>
          <c:w val="0.87136175046836128"/>
          <c:h val="0.80861828598219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径流结果!$K$44</c:f>
              <c:strCache>
                <c:ptCount val="1"/>
                <c:pt idx="0">
                  <c:v>1a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径流结果!$L$43:$P$43</c:f>
              <c:strCache>
                <c:ptCount val="5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  <c:pt idx="4">
                  <c:v>无→极端</c:v>
                </c:pt>
              </c:strCache>
            </c:strRef>
          </c:cat>
          <c:val>
            <c:numRef>
              <c:f>径流结果!$L$44:$P$44</c:f>
              <c:numCache>
                <c:formatCode>0%</c:formatCode>
                <c:ptCount val="5"/>
                <c:pt idx="0">
                  <c:v>-0.32321397826385573</c:v>
                </c:pt>
                <c:pt idx="1">
                  <c:v>-0.37475092327493403</c:v>
                </c:pt>
                <c:pt idx="2">
                  <c:v>-0.3775933489823306</c:v>
                </c:pt>
                <c:pt idx="3">
                  <c:v>-0.38121153996078849</c:v>
                </c:pt>
                <c:pt idx="4">
                  <c:v>0.63100005036664208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0-48B0-9154-AE7813FA407D}"/>
            </c:ext>
          </c:extLst>
        </c:ser>
        <c:ser>
          <c:idx val="1"/>
          <c:order val="1"/>
          <c:tx>
            <c:strRef>
              <c:f>径流结果!$K$45</c:f>
              <c:strCache>
                <c:ptCount val="1"/>
                <c:pt idx="0">
                  <c:v>2a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径流结果!$L$43:$P$43</c:f>
              <c:strCache>
                <c:ptCount val="5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  <c:pt idx="4">
                  <c:v>无→极端</c:v>
                </c:pt>
              </c:strCache>
            </c:strRef>
          </c:cat>
          <c:val>
            <c:numRef>
              <c:f>径流结果!$L$45:$P$45</c:f>
              <c:numCache>
                <c:formatCode>0%</c:formatCode>
                <c:ptCount val="5"/>
                <c:pt idx="0">
                  <c:v>-0.33696774438581384</c:v>
                </c:pt>
                <c:pt idx="1">
                  <c:v>-0.42443521773843645</c:v>
                </c:pt>
                <c:pt idx="2">
                  <c:v>-0.43007834124737526</c:v>
                </c:pt>
                <c:pt idx="3">
                  <c:v>-0.43594129597105696</c:v>
                </c:pt>
                <c:pt idx="4">
                  <c:v>0.43393559423558026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40-48B0-9154-AE7813FA407D}"/>
            </c:ext>
          </c:extLst>
        </c:ser>
        <c:ser>
          <c:idx val="2"/>
          <c:order val="2"/>
          <c:tx>
            <c:strRef>
              <c:f>径流结果!$K$46</c:f>
              <c:strCache>
                <c:ptCount val="1"/>
                <c:pt idx="0">
                  <c:v>3a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径流结果!$L$43:$P$43</c:f>
              <c:strCache>
                <c:ptCount val="5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  <c:pt idx="4">
                  <c:v>无→极端</c:v>
                </c:pt>
              </c:strCache>
            </c:strRef>
          </c:cat>
          <c:val>
            <c:numRef>
              <c:f>径流结果!$L$46:$P$46</c:f>
              <c:numCache>
                <c:formatCode>0%</c:formatCode>
                <c:ptCount val="5"/>
                <c:pt idx="0">
                  <c:v>-0.32399233457415472</c:v>
                </c:pt>
                <c:pt idx="1">
                  <c:v>-0.41505763422271297</c:v>
                </c:pt>
                <c:pt idx="2">
                  <c:v>-0.42162873406177515</c:v>
                </c:pt>
                <c:pt idx="3">
                  <c:v>-0.42794161118757007</c:v>
                </c:pt>
                <c:pt idx="4">
                  <c:v>0.34900100779064536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40-48B0-9154-AE7813FA407D}"/>
            </c:ext>
          </c:extLst>
        </c:ser>
        <c:ser>
          <c:idx val="3"/>
          <c:order val="3"/>
          <c:tx>
            <c:strRef>
              <c:f>径流结果!$K$47</c:f>
              <c:strCache>
                <c:ptCount val="1"/>
                <c:pt idx="0">
                  <c:v>5a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径流结果!$L$43:$P$43</c:f>
              <c:strCache>
                <c:ptCount val="5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  <c:pt idx="4">
                  <c:v>无→极端</c:v>
                </c:pt>
              </c:strCache>
            </c:strRef>
          </c:cat>
          <c:val>
            <c:numRef>
              <c:f>径流结果!$L$47:$P$47</c:f>
              <c:numCache>
                <c:formatCode>0%</c:formatCode>
                <c:ptCount val="5"/>
                <c:pt idx="0">
                  <c:v>-0.29133278438576787</c:v>
                </c:pt>
                <c:pt idx="1">
                  <c:v>-0.38967780186706924</c:v>
                </c:pt>
                <c:pt idx="2">
                  <c:v>-0.39694418862744013</c:v>
                </c:pt>
                <c:pt idx="3">
                  <c:v>-0.40424706076889361</c:v>
                </c:pt>
                <c:pt idx="4">
                  <c:v>0.24904875809120761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40-48B0-9154-AE7813FA407D}"/>
            </c:ext>
          </c:extLst>
        </c:ser>
        <c:ser>
          <c:idx val="4"/>
          <c:order val="4"/>
          <c:tx>
            <c:strRef>
              <c:f>径流结果!$K$48</c:f>
              <c:strCache>
                <c:ptCount val="1"/>
                <c:pt idx="0">
                  <c:v>10a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径流结果!$L$43:$P$43</c:f>
              <c:strCache>
                <c:ptCount val="5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  <c:pt idx="4">
                  <c:v>无→极端</c:v>
                </c:pt>
              </c:strCache>
            </c:strRef>
          </c:cat>
          <c:val>
            <c:numRef>
              <c:f>径流结果!$L$48:$P$48</c:f>
              <c:numCache>
                <c:formatCode>0%</c:formatCode>
                <c:ptCount val="5"/>
                <c:pt idx="0">
                  <c:v>-0.24120693125191212</c:v>
                </c:pt>
                <c:pt idx="1">
                  <c:v>-0.33087258590332852</c:v>
                </c:pt>
                <c:pt idx="2">
                  <c:v>-0.33636719040256213</c:v>
                </c:pt>
                <c:pt idx="3">
                  <c:v>-0.34324646531365732</c:v>
                </c:pt>
                <c:pt idx="4">
                  <c:v>0.22786974953360917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B-45C0-B710-4922025FF213}"/>
            </c:ext>
          </c:extLst>
        </c:ser>
        <c:ser>
          <c:idx val="5"/>
          <c:order val="5"/>
          <c:tx>
            <c:strRef>
              <c:f>径流结果!$K$49</c:f>
              <c:strCache>
                <c:ptCount val="1"/>
                <c:pt idx="0">
                  <c:v>30a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径流结果!$L$43:$P$43</c:f>
              <c:strCache>
                <c:ptCount val="5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  <c:pt idx="4">
                  <c:v>无→极端</c:v>
                </c:pt>
              </c:strCache>
            </c:strRef>
          </c:cat>
          <c:val>
            <c:numRef>
              <c:f>径流结果!$L$49:$P$49</c:f>
              <c:numCache>
                <c:formatCode>0%</c:formatCode>
                <c:ptCount val="5"/>
                <c:pt idx="0">
                  <c:v>-0.23438434072998512</c:v>
                </c:pt>
                <c:pt idx="1">
                  <c:v>-0.316147262177146</c:v>
                </c:pt>
                <c:pt idx="2">
                  <c:v>-0.32306671863099007</c:v>
                </c:pt>
                <c:pt idx="3">
                  <c:v>-0.32849680856809754</c:v>
                </c:pt>
                <c:pt idx="4">
                  <c:v>0.20821125011358158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9B-45C0-B710-4922025FF213}"/>
            </c:ext>
          </c:extLst>
        </c:ser>
        <c:ser>
          <c:idx val="6"/>
          <c:order val="6"/>
          <c:tx>
            <c:strRef>
              <c:f>径流结果!$K$50</c:f>
              <c:strCache>
                <c:ptCount val="1"/>
                <c:pt idx="0">
                  <c:v>50a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径流结果!$L$43:$P$43</c:f>
              <c:strCache>
                <c:ptCount val="5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  <c:pt idx="4">
                  <c:v>无→极端</c:v>
                </c:pt>
              </c:strCache>
            </c:strRef>
          </c:cat>
          <c:val>
            <c:numRef>
              <c:f>径流结果!$L$50:$P$50</c:f>
              <c:numCache>
                <c:formatCode>0%</c:formatCode>
                <c:ptCount val="5"/>
                <c:pt idx="0">
                  <c:v>-0.23619178980944633</c:v>
                </c:pt>
                <c:pt idx="1">
                  <c:v>-0.31770656110803391</c:v>
                </c:pt>
                <c:pt idx="2">
                  <c:v>-0.32380673034486018</c:v>
                </c:pt>
                <c:pt idx="3">
                  <c:v>-0.33014228246104216</c:v>
                </c:pt>
                <c:pt idx="4">
                  <c:v>0.18598676099271022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9B-45C0-B710-4922025FF213}"/>
            </c:ext>
          </c:extLst>
        </c:ser>
        <c:ser>
          <c:idx val="7"/>
          <c:order val="7"/>
          <c:tx>
            <c:strRef>
              <c:f>径流结果!$K$51</c:f>
              <c:strCache>
                <c:ptCount val="1"/>
                <c:pt idx="0">
                  <c:v>100a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径流结果!$L$43:$P$43</c:f>
              <c:strCache>
                <c:ptCount val="5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  <c:pt idx="4">
                  <c:v>无→极端</c:v>
                </c:pt>
              </c:strCache>
            </c:strRef>
          </c:cat>
          <c:val>
            <c:numRef>
              <c:f>径流结果!$L$51:$P$51</c:f>
              <c:numCache>
                <c:formatCode>0%</c:formatCode>
                <c:ptCount val="5"/>
                <c:pt idx="0">
                  <c:v>-0.23104052668894376</c:v>
                </c:pt>
                <c:pt idx="1">
                  <c:v>-0.31260446572067019</c:v>
                </c:pt>
                <c:pt idx="2">
                  <c:v>-0.31876159948765476</c:v>
                </c:pt>
                <c:pt idx="3">
                  <c:v>-0.32575837077535791</c:v>
                </c:pt>
                <c:pt idx="4">
                  <c:v>0.16813276813867511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9B-45C0-B710-4922025FF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4616384"/>
        <c:axId val="1154617344"/>
      </c:barChart>
      <c:catAx>
        <c:axId val="115461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154617344"/>
        <c:crosses val="autoZero"/>
        <c:auto val="1"/>
        <c:lblAlgn val="ctr"/>
        <c:lblOffset val="100"/>
        <c:noMultiLvlLbl val="0"/>
      </c:catAx>
      <c:valAx>
        <c:axId val="115461734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154616384"/>
        <c:crosses val="autoZero"/>
        <c:crossBetween val="between"/>
      </c:valAx>
      <c:spPr>
        <a:noFill/>
        <a:ln w="127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41301692031477"/>
          <c:y val="6.0296776801544251E-2"/>
          <c:w val="0.86694865542602495"/>
          <c:h val="0.830852958611587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径流结果!$B$4</c:f>
              <c:strCache>
                <c:ptCount val="1"/>
                <c:pt idx="0">
                  <c:v>1a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径流结果!$C$3:$H$3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径流结果!$C$4:$H$4</c:f>
              <c:numCache>
                <c:formatCode>0.00_ </c:formatCode>
                <c:ptCount val="6"/>
                <c:pt idx="0">
                  <c:v>30.941108600000049</c:v>
                </c:pt>
                <c:pt idx="1">
                  <c:v>20.940509797500034</c:v>
                </c:pt>
                <c:pt idx="2">
                  <c:v>19.34589958500003</c:v>
                </c:pt>
                <c:pt idx="3">
                  <c:v>19.25795178250004</c:v>
                </c:pt>
                <c:pt idx="4">
                  <c:v>19.146000942500034</c:v>
                </c:pt>
                <c:pt idx="5">
                  <c:v>50.464949684999823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7-4AE1-ADC8-BF65E4B8BED3}"/>
            </c:ext>
          </c:extLst>
        </c:ser>
        <c:ser>
          <c:idx val="1"/>
          <c:order val="1"/>
          <c:tx>
            <c:strRef>
              <c:f>径流结果!$B$5</c:f>
              <c:strCache>
                <c:ptCount val="1"/>
                <c:pt idx="0">
                  <c:v>2a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径流结果!$C$3:$H$3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径流结果!$C$5:$H$5</c:f>
              <c:numCache>
                <c:formatCode>0.00_ </c:formatCode>
                <c:ptCount val="6"/>
                <c:pt idx="0">
                  <c:v>65.660352269999834</c:v>
                </c:pt>
                <c:pt idx="1">
                  <c:v>43.534931470000039</c:v>
                </c:pt>
                <c:pt idx="2">
                  <c:v>37.791786357500015</c:v>
                </c:pt>
                <c:pt idx="3">
                  <c:v>37.421256879999973</c:v>
                </c:pt>
                <c:pt idx="4">
                  <c:v>37.036293207499973</c:v>
                </c:pt>
                <c:pt idx="5">
                  <c:v>94.152716249999742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47-4AE1-ADC8-BF65E4B8BED3}"/>
            </c:ext>
          </c:extLst>
        </c:ser>
        <c:ser>
          <c:idx val="2"/>
          <c:order val="2"/>
          <c:tx>
            <c:strRef>
              <c:f>径流结果!$B$6</c:f>
              <c:strCache>
                <c:ptCount val="1"/>
                <c:pt idx="0">
                  <c:v>3a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径流结果!$C$3:$H$3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径流结果!$C$6:$H$6</c:f>
              <c:numCache>
                <c:formatCode>0.00_ </c:formatCode>
                <c:ptCount val="6"/>
                <c:pt idx="0">
                  <c:v>86.445416507500084</c:v>
                </c:pt>
                <c:pt idx="1">
                  <c:v>58.437764199999961</c:v>
                </c:pt>
                <c:pt idx="2">
                  <c:v>50.565586442500042</c:v>
                </c:pt>
                <c:pt idx="3">
                  <c:v>49.997544979999944</c:v>
                </c:pt>
                <c:pt idx="4">
                  <c:v>49.451825687499934</c:v>
                </c:pt>
                <c:pt idx="5">
                  <c:v>116.6149539874997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47-4AE1-ADC8-BF65E4B8BED3}"/>
            </c:ext>
          </c:extLst>
        </c:ser>
        <c:ser>
          <c:idx val="3"/>
          <c:order val="3"/>
          <c:tx>
            <c:strRef>
              <c:f>径流结果!$B$7</c:f>
              <c:strCache>
                <c:ptCount val="1"/>
                <c:pt idx="0">
                  <c:v>5a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径流结果!$C$3:$H$3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径流结果!$C$7:$H$7</c:f>
              <c:numCache>
                <c:formatCode>0.00_ </c:formatCode>
                <c:ptCount val="6"/>
                <c:pt idx="0">
                  <c:v>110.92579766</c:v>
                </c:pt>
                <c:pt idx="1">
                  <c:v>78.609476167499906</c:v>
                </c:pt>
                <c:pt idx="2">
                  <c:v>67.700476657499905</c:v>
                </c:pt>
                <c:pt idx="3">
                  <c:v>66.894446909999701</c:v>
                </c:pt>
                <c:pt idx="4">
                  <c:v>66.084369992499987</c:v>
                </c:pt>
                <c:pt idx="5">
                  <c:v>138.55172980749958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47-4AE1-ADC8-BF65E4B8BED3}"/>
            </c:ext>
          </c:extLst>
        </c:ser>
        <c:ser>
          <c:idx val="4"/>
          <c:order val="4"/>
          <c:tx>
            <c:strRef>
              <c:f>径流结果!$B$8</c:f>
              <c:strCache>
                <c:ptCount val="1"/>
                <c:pt idx="0">
                  <c:v>10a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径流结果!$C$3:$H$3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径流结果!$C$8:$H$8</c:f>
              <c:numCache>
                <c:formatCode>0.00_ </c:formatCode>
                <c:ptCount val="6"/>
                <c:pt idx="0">
                  <c:v>136.89607932017901</c:v>
                </c:pt>
                <c:pt idx="1">
                  <c:v>103.87579612694029</c:v>
                </c:pt>
                <c:pt idx="2">
                  <c:v>91.600919555484211</c:v>
                </c:pt>
                <c:pt idx="3">
                  <c:v>90.848729742124107</c:v>
                </c:pt>
                <c:pt idx="4">
                  <c:v>89.906983978229505</c:v>
                </c:pt>
                <c:pt idx="5">
                  <c:v>168.0905546270013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8-4874-8879-F672EC7B6E1F}"/>
            </c:ext>
          </c:extLst>
        </c:ser>
        <c:ser>
          <c:idx val="5"/>
          <c:order val="5"/>
          <c:tx>
            <c:strRef>
              <c:f>径流结果!$B$9</c:f>
              <c:strCache>
                <c:ptCount val="1"/>
                <c:pt idx="0">
                  <c:v>30a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径流结果!$C$3:$H$3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径流结果!$C$9:$H$9</c:f>
              <c:numCache>
                <c:formatCode>0.00_ </c:formatCode>
                <c:ptCount val="6"/>
                <c:pt idx="0">
                  <c:v>180.81925944757057</c:v>
                </c:pt>
                <c:pt idx="1">
                  <c:v>138.43805653066761</c:v>
                </c:pt>
                <c:pt idx="2">
                  <c:v>123.6537456243221</c:v>
                </c:pt>
                <c:pt idx="3">
                  <c:v>122.4025746325583</c:v>
                </c:pt>
                <c:pt idx="4">
                  <c:v>121.42070979139682</c:v>
                </c:pt>
                <c:pt idx="5">
                  <c:v>218.46786350176129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C8-4874-8879-F672EC7B6E1F}"/>
            </c:ext>
          </c:extLst>
        </c:ser>
        <c:ser>
          <c:idx val="6"/>
          <c:order val="6"/>
          <c:tx>
            <c:strRef>
              <c:f>径流结果!$B$10</c:f>
              <c:strCache>
                <c:ptCount val="1"/>
                <c:pt idx="0">
                  <c:v>50a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径流结果!$C$3:$H$3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径流结果!$C$10:$H$10</c:f>
              <c:numCache>
                <c:formatCode>0.00_ </c:formatCode>
                <c:ptCount val="6"/>
                <c:pt idx="0">
                  <c:v>203.1244699306294</c:v>
                </c:pt>
                <c:pt idx="1">
                  <c:v>155.14813782361898</c:v>
                </c:pt>
                <c:pt idx="2">
                  <c:v>138.5904931120769</c:v>
                </c:pt>
                <c:pt idx="3">
                  <c:v>137.35139946935942</c:v>
                </c:pt>
                <c:pt idx="4">
                  <c:v>136.06449380404209</c:v>
                </c:pt>
                <c:pt idx="5">
                  <c:v>240.90293217138833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C8-4874-8879-F672EC7B6E1F}"/>
            </c:ext>
          </c:extLst>
        </c:ser>
        <c:ser>
          <c:idx val="7"/>
          <c:order val="7"/>
          <c:tx>
            <c:strRef>
              <c:f>径流结果!$B$11</c:f>
              <c:strCache>
                <c:ptCount val="1"/>
                <c:pt idx="0">
                  <c:v>100a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径流结果!$C$3:$H$3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径流结果!$C$11:$H$11</c:f>
              <c:numCache>
                <c:formatCode>0.00_ </c:formatCode>
                <c:ptCount val="6"/>
                <c:pt idx="0">
                  <c:v>232.58172647865823</c:v>
                </c:pt>
                <c:pt idx="1">
                  <c:v>178.84592189480517</c:v>
                </c:pt>
                <c:pt idx="2">
                  <c:v>159.87564013640622</c:v>
                </c:pt>
                <c:pt idx="3">
                  <c:v>158.4436033347209</c:v>
                </c:pt>
                <c:pt idx="4">
                  <c:v>156.81628218885061</c:v>
                </c:pt>
                <c:pt idx="5">
                  <c:v>271.68633596998723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C8-4874-8879-F672EC7B6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9159264"/>
        <c:axId val="1259162144"/>
      </c:barChart>
      <c:catAx>
        <c:axId val="125915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59162144"/>
        <c:crosses val="autoZero"/>
        <c:auto val="1"/>
        <c:lblAlgn val="ctr"/>
        <c:lblOffset val="100"/>
        <c:noMultiLvlLbl val="0"/>
      </c:catAx>
      <c:valAx>
        <c:axId val="1259162144"/>
        <c:scaling>
          <c:orientation val="minMax"/>
        </c:scaling>
        <c:delete val="0"/>
        <c:axPos val="l"/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59159264"/>
        <c:crosses val="autoZero"/>
        <c:crossBetween val="between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6749792881253428"/>
          <c:y val="9.6086203364953507E-2"/>
          <c:w val="0.75405818203449204"/>
          <c:h val="0.102828047700244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76082776773117"/>
          <c:y val="0.11085504508801504"/>
          <c:w val="0.85290507436570429"/>
          <c:h val="0.76725284339457567"/>
        </c:manualLayout>
      </c:layout>
      <c:lineChart>
        <c:grouping val="standard"/>
        <c:varyColors val="0"/>
        <c:ser>
          <c:idx val="0"/>
          <c:order val="0"/>
          <c:tx>
            <c:strRef>
              <c:f>径流结果!$C$3</c:f>
              <c:strCache>
                <c:ptCount val="1"/>
                <c:pt idx="0">
                  <c:v>无干旱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径流结果!$B$4:$B$11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径流结果!$C$4:$C$11</c:f>
              <c:numCache>
                <c:formatCode>0.00_ </c:formatCode>
                <c:ptCount val="8"/>
                <c:pt idx="0">
                  <c:v>30.941108600000049</c:v>
                </c:pt>
                <c:pt idx="1">
                  <c:v>65.660352269999834</c:v>
                </c:pt>
                <c:pt idx="2">
                  <c:v>86.445416507500084</c:v>
                </c:pt>
                <c:pt idx="3">
                  <c:v>110.92579766</c:v>
                </c:pt>
                <c:pt idx="4">
                  <c:v>136.89607932017901</c:v>
                </c:pt>
                <c:pt idx="5">
                  <c:v>180.81925944757057</c:v>
                </c:pt>
                <c:pt idx="6">
                  <c:v>203.1244699306294</c:v>
                </c:pt>
                <c:pt idx="7">
                  <c:v>232.58172647865823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25-4885-9940-15BA0212DC0E}"/>
            </c:ext>
          </c:extLst>
        </c:ser>
        <c:ser>
          <c:idx val="1"/>
          <c:order val="1"/>
          <c:tx>
            <c:strRef>
              <c:f>径流结果!$D$3</c:f>
              <c:strCache>
                <c:ptCount val="1"/>
                <c:pt idx="0">
                  <c:v>轻度干旱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径流结果!$B$4:$B$11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径流结果!$D$4:$D$11</c:f>
              <c:numCache>
                <c:formatCode>0.00_ </c:formatCode>
                <c:ptCount val="8"/>
                <c:pt idx="0">
                  <c:v>20.940509797500034</c:v>
                </c:pt>
                <c:pt idx="1">
                  <c:v>43.534931470000039</c:v>
                </c:pt>
                <c:pt idx="2">
                  <c:v>58.437764199999961</c:v>
                </c:pt>
                <c:pt idx="3">
                  <c:v>78.609476167499906</c:v>
                </c:pt>
                <c:pt idx="4">
                  <c:v>103.87579612694029</c:v>
                </c:pt>
                <c:pt idx="5">
                  <c:v>138.43805653066761</c:v>
                </c:pt>
                <c:pt idx="6">
                  <c:v>155.14813782361898</c:v>
                </c:pt>
                <c:pt idx="7">
                  <c:v>178.84592189480517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25-4885-9940-15BA0212DC0E}"/>
            </c:ext>
          </c:extLst>
        </c:ser>
        <c:ser>
          <c:idx val="2"/>
          <c:order val="2"/>
          <c:tx>
            <c:strRef>
              <c:f>径流结果!$E$3</c:f>
              <c:strCache>
                <c:ptCount val="1"/>
                <c:pt idx="0">
                  <c:v>中度干旱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径流结果!$B$4:$B$11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径流结果!$E$4:$E$11</c:f>
              <c:numCache>
                <c:formatCode>0.00_ </c:formatCode>
                <c:ptCount val="8"/>
                <c:pt idx="0">
                  <c:v>19.34589958500003</c:v>
                </c:pt>
                <c:pt idx="1">
                  <c:v>37.791786357500015</c:v>
                </c:pt>
                <c:pt idx="2">
                  <c:v>50.565586442500042</c:v>
                </c:pt>
                <c:pt idx="3">
                  <c:v>67.700476657499905</c:v>
                </c:pt>
                <c:pt idx="4">
                  <c:v>91.600919555484211</c:v>
                </c:pt>
                <c:pt idx="5">
                  <c:v>123.6537456243221</c:v>
                </c:pt>
                <c:pt idx="6">
                  <c:v>138.5904931120769</c:v>
                </c:pt>
                <c:pt idx="7">
                  <c:v>159.87564013640622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25-4885-9940-15BA0212DC0E}"/>
            </c:ext>
          </c:extLst>
        </c:ser>
        <c:ser>
          <c:idx val="3"/>
          <c:order val="3"/>
          <c:tx>
            <c:strRef>
              <c:f>径流结果!$F$3</c:f>
              <c:strCache>
                <c:ptCount val="1"/>
                <c:pt idx="0">
                  <c:v>严重干旱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径流结果!$B$4:$B$11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径流结果!$F$4:$F$11</c:f>
              <c:numCache>
                <c:formatCode>0.00_ </c:formatCode>
                <c:ptCount val="8"/>
                <c:pt idx="0">
                  <c:v>19.25795178250004</c:v>
                </c:pt>
                <c:pt idx="1">
                  <c:v>37.421256879999973</c:v>
                </c:pt>
                <c:pt idx="2">
                  <c:v>49.997544979999944</c:v>
                </c:pt>
                <c:pt idx="3">
                  <c:v>66.894446909999701</c:v>
                </c:pt>
                <c:pt idx="4">
                  <c:v>90.848729742124107</c:v>
                </c:pt>
                <c:pt idx="5">
                  <c:v>122.4025746325583</c:v>
                </c:pt>
                <c:pt idx="6">
                  <c:v>137.35139946935942</c:v>
                </c:pt>
                <c:pt idx="7">
                  <c:v>158.4436033347209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25-4885-9940-15BA0212DC0E}"/>
            </c:ext>
          </c:extLst>
        </c:ser>
        <c:ser>
          <c:idx val="4"/>
          <c:order val="4"/>
          <c:tx>
            <c:strRef>
              <c:f>径流结果!$G$3</c:f>
              <c:strCache>
                <c:ptCount val="1"/>
                <c:pt idx="0">
                  <c:v>特大干旱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径流结果!$B$4:$B$11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径流结果!$G$4:$G$11</c:f>
              <c:numCache>
                <c:formatCode>0.00_ </c:formatCode>
                <c:ptCount val="8"/>
                <c:pt idx="0">
                  <c:v>19.146000942500034</c:v>
                </c:pt>
                <c:pt idx="1">
                  <c:v>37.036293207499973</c:v>
                </c:pt>
                <c:pt idx="2">
                  <c:v>49.451825687499934</c:v>
                </c:pt>
                <c:pt idx="3">
                  <c:v>66.084369992499987</c:v>
                </c:pt>
                <c:pt idx="4">
                  <c:v>89.906983978229505</c:v>
                </c:pt>
                <c:pt idx="5">
                  <c:v>121.42070979139682</c:v>
                </c:pt>
                <c:pt idx="6">
                  <c:v>136.06449380404209</c:v>
                </c:pt>
                <c:pt idx="7">
                  <c:v>156.81628218885061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25-4885-9940-15BA0212DC0E}"/>
            </c:ext>
          </c:extLst>
        </c:ser>
        <c:ser>
          <c:idx val="5"/>
          <c:order val="5"/>
          <c:tx>
            <c:strRef>
              <c:f>径流结果!$H$3</c:f>
              <c:strCache>
                <c:ptCount val="1"/>
                <c:pt idx="0">
                  <c:v>极端干旱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径流结果!$B$4:$B$11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径流结果!$H$4:$H$11</c:f>
              <c:numCache>
                <c:formatCode>0.00_ </c:formatCode>
                <c:ptCount val="8"/>
                <c:pt idx="0">
                  <c:v>50.464949684999823</c:v>
                </c:pt>
                <c:pt idx="1">
                  <c:v>94.152716249999742</c:v>
                </c:pt>
                <c:pt idx="2">
                  <c:v>116.6149539874997</c:v>
                </c:pt>
                <c:pt idx="3">
                  <c:v>138.55172980749958</c:v>
                </c:pt>
                <c:pt idx="4">
                  <c:v>168.0905546270013</c:v>
                </c:pt>
                <c:pt idx="5">
                  <c:v>218.46786350176129</c:v>
                </c:pt>
                <c:pt idx="6">
                  <c:v>240.90293217138833</c:v>
                </c:pt>
                <c:pt idx="7">
                  <c:v>271.68633596998723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25-4885-9940-15BA0212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4432928"/>
        <c:axId val="824428608"/>
      </c:lineChart>
      <c:catAx>
        <c:axId val="82443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824428608"/>
        <c:crosses val="autoZero"/>
        <c:auto val="1"/>
        <c:lblAlgn val="ctr"/>
        <c:lblOffset val="100"/>
        <c:noMultiLvlLbl val="0"/>
      </c:catAx>
      <c:valAx>
        <c:axId val="824428608"/>
        <c:scaling>
          <c:orientation val="minMax"/>
        </c:scaling>
        <c:delete val="0"/>
        <c:axPos val="l"/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824432928"/>
        <c:crosses val="autoZero"/>
        <c:crossBetween val="between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2771204260699801"/>
          <c:y val="0.11995288874960612"/>
          <c:w val="0.49686528261463531"/>
          <c:h val="0.140919099524274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90405528865719"/>
          <c:y val="7.4205968782648499E-2"/>
          <c:w val="0.81474201998791307"/>
          <c:h val="0.79905346235566177"/>
        </c:manualLayout>
      </c:layout>
      <c:lineChart>
        <c:grouping val="standard"/>
        <c:varyColors val="0"/>
        <c:ser>
          <c:idx val="0"/>
          <c:order val="0"/>
          <c:tx>
            <c:strRef>
              <c:f>径流结果!$K$31</c:f>
              <c:strCache>
                <c:ptCount val="1"/>
                <c:pt idx="0">
                  <c:v>1a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FFCC00"/>
              </a:solidFill>
              <a:ln w="9525">
                <a:solidFill>
                  <a:srgbClr val="FFCC00"/>
                </a:solidFill>
              </a:ln>
              <a:effectLst/>
            </c:spPr>
          </c:marker>
          <c:cat>
            <c:strRef>
              <c:f>径流结果!$L$30:$O$30</c:f>
              <c:strCache>
                <c:ptCount val="4"/>
                <c:pt idx="0">
                  <c:v>无→轻度</c:v>
                </c:pt>
                <c:pt idx="1">
                  <c:v>轻度→中度</c:v>
                </c:pt>
                <c:pt idx="2">
                  <c:v>中度→严重</c:v>
                </c:pt>
                <c:pt idx="3">
                  <c:v>严重→特大</c:v>
                </c:pt>
              </c:strCache>
            </c:strRef>
          </c:cat>
          <c:val>
            <c:numRef>
              <c:f>径流结果!$L$31:$O$31</c:f>
              <c:numCache>
                <c:formatCode>0%</c:formatCode>
                <c:ptCount val="4"/>
                <c:pt idx="0">
                  <c:v>-0.32321397826385573</c:v>
                </c:pt>
                <c:pt idx="1">
                  <c:v>-7.6149541148724839E-2</c:v>
                </c:pt>
                <c:pt idx="2">
                  <c:v>-4.5460694197017697E-3</c:v>
                </c:pt>
                <c:pt idx="3">
                  <c:v>-5.813226726517043E-3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7C-4F38-8130-C7570FD00F1F}"/>
            </c:ext>
          </c:extLst>
        </c:ser>
        <c:ser>
          <c:idx val="1"/>
          <c:order val="1"/>
          <c:tx>
            <c:strRef>
              <c:f>径流结果!$K$32</c:f>
              <c:strCache>
                <c:ptCount val="1"/>
                <c:pt idx="0">
                  <c:v>2a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FF00"/>
              </a:solidFill>
              <a:ln w="9525">
                <a:solidFill>
                  <a:srgbClr val="00FF00"/>
                </a:solidFill>
              </a:ln>
              <a:effectLst/>
            </c:spPr>
          </c:marker>
          <c:cat>
            <c:strRef>
              <c:f>径流结果!$L$30:$O$30</c:f>
              <c:strCache>
                <c:ptCount val="4"/>
                <c:pt idx="0">
                  <c:v>无→轻度</c:v>
                </c:pt>
                <c:pt idx="1">
                  <c:v>轻度→中度</c:v>
                </c:pt>
                <c:pt idx="2">
                  <c:v>中度→严重</c:v>
                </c:pt>
                <c:pt idx="3">
                  <c:v>严重→特大</c:v>
                </c:pt>
              </c:strCache>
            </c:strRef>
          </c:cat>
          <c:val>
            <c:numRef>
              <c:f>径流结果!$L$32:$O$32</c:f>
              <c:numCache>
                <c:formatCode>0%</c:formatCode>
                <c:ptCount val="4"/>
                <c:pt idx="0">
                  <c:v>-0.33696774438581384</c:v>
                </c:pt>
                <c:pt idx="1">
                  <c:v>-0.13192038941091777</c:v>
                </c:pt>
                <c:pt idx="2">
                  <c:v>-9.8044975697876378E-3</c:v>
                </c:pt>
                <c:pt idx="3">
                  <c:v>-1.0287299374643557E-2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7C-4F38-8130-C7570FD00F1F}"/>
            </c:ext>
          </c:extLst>
        </c:ser>
        <c:ser>
          <c:idx val="2"/>
          <c:order val="2"/>
          <c:tx>
            <c:strRef>
              <c:f>径流结果!$K$33</c:f>
              <c:strCache>
                <c:ptCount val="1"/>
                <c:pt idx="0">
                  <c:v>3a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cat>
            <c:strRef>
              <c:f>径流结果!$L$30:$O$30</c:f>
              <c:strCache>
                <c:ptCount val="4"/>
                <c:pt idx="0">
                  <c:v>无→轻度</c:v>
                </c:pt>
                <c:pt idx="1">
                  <c:v>轻度→中度</c:v>
                </c:pt>
                <c:pt idx="2">
                  <c:v>中度→严重</c:v>
                </c:pt>
                <c:pt idx="3">
                  <c:v>严重→特大</c:v>
                </c:pt>
              </c:strCache>
            </c:strRef>
          </c:cat>
          <c:val>
            <c:numRef>
              <c:f>径流结果!$L$33:$O$33</c:f>
              <c:numCache>
                <c:formatCode>0%</c:formatCode>
                <c:ptCount val="4"/>
                <c:pt idx="0">
                  <c:v>-0.32399233457415472</c:v>
                </c:pt>
                <c:pt idx="1">
                  <c:v>-0.13471045419461691</c:v>
                </c:pt>
                <c:pt idx="2">
                  <c:v>-1.1233756047624175E-2</c:v>
                </c:pt>
                <c:pt idx="3">
                  <c:v>-1.0914921777025435E-2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7C-4F38-8130-C7570FD00F1F}"/>
            </c:ext>
          </c:extLst>
        </c:ser>
        <c:ser>
          <c:idx val="3"/>
          <c:order val="3"/>
          <c:tx>
            <c:strRef>
              <c:f>径流结果!$K$34</c:f>
              <c:strCache>
                <c:ptCount val="1"/>
                <c:pt idx="0">
                  <c:v>5a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径流结果!$L$30:$O$30</c:f>
              <c:strCache>
                <c:ptCount val="4"/>
                <c:pt idx="0">
                  <c:v>无→轻度</c:v>
                </c:pt>
                <c:pt idx="1">
                  <c:v>轻度→中度</c:v>
                </c:pt>
                <c:pt idx="2">
                  <c:v>中度→严重</c:v>
                </c:pt>
                <c:pt idx="3">
                  <c:v>严重→特大</c:v>
                </c:pt>
              </c:strCache>
            </c:strRef>
          </c:cat>
          <c:val>
            <c:numRef>
              <c:f>径流结果!$L$34:$O$34</c:f>
              <c:numCache>
                <c:formatCode>0%</c:formatCode>
                <c:ptCount val="4"/>
                <c:pt idx="0">
                  <c:v>-0.29133278438576787</c:v>
                </c:pt>
                <c:pt idx="1">
                  <c:v>-0.13877461143177275</c:v>
                </c:pt>
                <c:pt idx="2">
                  <c:v>-1.1905820864126988E-2</c:v>
                </c:pt>
                <c:pt idx="3">
                  <c:v>-1.210977823898593E-2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7C-4F38-8130-C7570FD00F1F}"/>
            </c:ext>
          </c:extLst>
        </c:ser>
        <c:ser>
          <c:idx val="4"/>
          <c:order val="4"/>
          <c:tx>
            <c:strRef>
              <c:f>径流结果!$K$35</c:f>
              <c:strCache>
                <c:ptCount val="1"/>
                <c:pt idx="0">
                  <c:v>10a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径流结果!$L$30:$O$30</c:f>
              <c:strCache>
                <c:ptCount val="4"/>
                <c:pt idx="0">
                  <c:v>无→轻度</c:v>
                </c:pt>
                <c:pt idx="1">
                  <c:v>轻度→中度</c:v>
                </c:pt>
                <c:pt idx="2">
                  <c:v>中度→严重</c:v>
                </c:pt>
                <c:pt idx="3">
                  <c:v>严重→特大</c:v>
                </c:pt>
              </c:strCache>
            </c:strRef>
          </c:cat>
          <c:val>
            <c:numRef>
              <c:f>径流结果!$L$35:$O$35</c:f>
              <c:numCache>
                <c:formatCode>0%</c:formatCode>
                <c:ptCount val="4"/>
                <c:pt idx="0">
                  <c:v>-0.24120693125191212</c:v>
                </c:pt>
                <c:pt idx="1">
                  <c:v>-0.11816878454010303</c:v>
                </c:pt>
                <c:pt idx="2">
                  <c:v>-8.2115967504506355E-3</c:v>
                </c:pt>
                <c:pt idx="3">
                  <c:v>-1.0366086202501297E-2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7C-4E5A-A2F6-3C5015D86D7B}"/>
            </c:ext>
          </c:extLst>
        </c:ser>
        <c:ser>
          <c:idx val="5"/>
          <c:order val="5"/>
          <c:tx>
            <c:strRef>
              <c:f>径流结果!$K$36</c:f>
              <c:strCache>
                <c:ptCount val="1"/>
                <c:pt idx="0">
                  <c:v>30a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径流结果!$L$30:$O$30</c:f>
              <c:strCache>
                <c:ptCount val="4"/>
                <c:pt idx="0">
                  <c:v>无→轻度</c:v>
                </c:pt>
                <c:pt idx="1">
                  <c:v>轻度→中度</c:v>
                </c:pt>
                <c:pt idx="2">
                  <c:v>中度→严重</c:v>
                </c:pt>
                <c:pt idx="3">
                  <c:v>严重→特大</c:v>
                </c:pt>
              </c:strCache>
            </c:strRef>
          </c:cat>
          <c:val>
            <c:numRef>
              <c:f>径流结果!$L$36:$O$36</c:f>
              <c:numCache>
                <c:formatCode>0%</c:formatCode>
                <c:ptCount val="4"/>
                <c:pt idx="0">
                  <c:v>-0.23438434072998512</c:v>
                </c:pt>
                <c:pt idx="1">
                  <c:v>-0.10679369009395479</c:v>
                </c:pt>
                <c:pt idx="2">
                  <c:v>-1.011834284070163E-2</c:v>
                </c:pt>
                <c:pt idx="3">
                  <c:v>-8.0216028470720731E-3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27C-4E5A-A2F6-3C5015D86D7B}"/>
            </c:ext>
          </c:extLst>
        </c:ser>
        <c:ser>
          <c:idx val="6"/>
          <c:order val="6"/>
          <c:tx>
            <c:strRef>
              <c:f>径流结果!$K$37</c:f>
              <c:strCache>
                <c:ptCount val="1"/>
                <c:pt idx="0">
                  <c:v>50a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径流结果!$L$30:$O$30</c:f>
              <c:strCache>
                <c:ptCount val="4"/>
                <c:pt idx="0">
                  <c:v>无→轻度</c:v>
                </c:pt>
                <c:pt idx="1">
                  <c:v>轻度→中度</c:v>
                </c:pt>
                <c:pt idx="2">
                  <c:v>中度→严重</c:v>
                </c:pt>
                <c:pt idx="3">
                  <c:v>严重→特大</c:v>
                </c:pt>
              </c:strCache>
            </c:strRef>
          </c:cat>
          <c:val>
            <c:numRef>
              <c:f>径流结果!$L$37:$O$37</c:f>
              <c:numCache>
                <c:formatCode>0%</c:formatCode>
                <c:ptCount val="4"/>
                <c:pt idx="0">
                  <c:v>-0.23619178980944633</c:v>
                </c:pt>
                <c:pt idx="1">
                  <c:v>-0.1067215175367798</c:v>
                </c:pt>
                <c:pt idx="2">
                  <c:v>-8.9406828339620228E-3</c:v>
                </c:pt>
                <c:pt idx="3">
                  <c:v>-9.3694397748340357E-3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27C-4E5A-A2F6-3C5015D86D7B}"/>
            </c:ext>
          </c:extLst>
        </c:ser>
        <c:ser>
          <c:idx val="7"/>
          <c:order val="7"/>
          <c:tx>
            <c:strRef>
              <c:f>径流结果!$K$38</c:f>
              <c:strCache>
                <c:ptCount val="1"/>
                <c:pt idx="0">
                  <c:v>100a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径流结果!$L$30:$O$30</c:f>
              <c:strCache>
                <c:ptCount val="4"/>
                <c:pt idx="0">
                  <c:v>无→轻度</c:v>
                </c:pt>
                <c:pt idx="1">
                  <c:v>轻度→中度</c:v>
                </c:pt>
                <c:pt idx="2">
                  <c:v>中度→严重</c:v>
                </c:pt>
                <c:pt idx="3">
                  <c:v>严重→特大</c:v>
                </c:pt>
              </c:strCache>
            </c:strRef>
          </c:cat>
          <c:val>
            <c:numRef>
              <c:f>径流结果!$L$38:$O$38</c:f>
              <c:numCache>
                <c:formatCode>0%</c:formatCode>
                <c:ptCount val="4"/>
                <c:pt idx="0">
                  <c:v>-0.23104052668894376</c:v>
                </c:pt>
                <c:pt idx="1">
                  <c:v>-0.10607053019390079</c:v>
                </c:pt>
                <c:pt idx="2">
                  <c:v>-8.9571919803635939E-3</c:v>
                </c:pt>
                <c:pt idx="3">
                  <c:v>-1.0270664839857821E-2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27C-4E5A-A2F6-3C5015D86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6492448"/>
        <c:axId val="1546482848"/>
      </c:lineChart>
      <c:catAx>
        <c:axId val="154649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546482848"/>
        <c:crosses val="autoZero"/>
        <c:auto val="1"/>
        <c:lblAlgn val="ctr"/>
        <c:lblOffset val="100"/>
        <c:noMultiLvlLbl val="0"/>
      </c:catAx>
      <c:valAx>
        <c:axId val="1546482848"/>
        <c:scaling>
          <c:orientation val="minMax"/>
          <c:max val="0"/>
          <c:min val="-0.35000000000000003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46492448"/>
        <c:crosses val="autoZero"/>
        <c:crossBetween val="between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1913481217579898"/>
          <c:y val="0.658343103315159"/>
          <c:w val="0.63977255181105441"/>
          <c:h val="0.17134324121806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25287691919327"/>
          <c:y val="7.0541597544367715E-2"/>
          <c:w val="0.83121010731805767"/>
          <c:h val="0.82931402499504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径流结果!$L$43</c:f>
              <c:strCache>
                <c:ptCount val="1"/>
                <c:pt idx="0">
                  <c:v>无→轻度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径流结果!$K$44:$K$51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径流结果!$L$44:$L$51</c:f>
              <c:numCache>
                <c:formatCode>0%</c:formatCode>
                <c:ptCount val="8"/>
                <c:pt idx="0">
                  <c:v>-0.32321397826385573</c:v>
                </c:pt>
                <c:pt idx="1">
                  <c:v>-0.33696774438581384</c:v>
                </c:pt>
                <c:pt idx="2">
                  <c:v>-0.32399233457415472</c:v>
                </c:pt>
                <c:pt idx="3">
                  <c:v>-0.29133278438576787</c:v>
                </c:pt>
                <c:pt idx="4">
                  <c:v>-0.24120693125191212</c:v>
                </c:pt>
                <c:pt idx="5">
                  <c:v>-0.23438434072998512</c:v>
                </c:pt>
                <c:pt idx="6">
                  <c:v>-0.23619178980944633</c:v>
                </c:pt>
                <c:pt idx="7">
                  <c:v>-0.23104052668894376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5-45F7-8835-33BFABADCB6A}"/>
            </c:ext>
          </c:extLst>
        </c:ser>
        <c:ser>
          <c:idx val="1"/>
          <c:order val="1"/>
          <c:tx>
            <c:strRef>
              <c:f>径流结果!$M$43</c:f>
              <c:strCache>
                <c:ptCount val="1"/>
                <c:pt idx="0">
                  <c:v>无→中度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径流结果!$K$44:$K$51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径流结果!$M$44:$M$51</c:f>
              <c:numCache>
                <c:formatCode>0%</c:formatCode>
                <c:ptCount val="8"/>
                <c:pt idx="0">
                  <c:v>-0.37475092327493403</c:v>
                </c:pt>
                <c:pt idx="1">
                  <c:v>-0.42443521773843645</c:v>
                </c:pt>
                <c:pt idx="2">
                  <c:v>-0.41505763422271297</c:v>
                </c:pt>
                <c:pt idx="3">
                  <c:v>-0.38967780186706924</c:v>
                </c:pt>
                <c:pt idx="4">
                  <c:v>-0.33087258590332852</c:v>
                </c:pt>
                <c:pt idx="5">
                  <c:v>-0.316147262177146</c:v>
                </c:pt>
                <c:pt idx="6">
                  <c:v>-0.31770656110803391</c:v>
                </c:pt>
                <c:pt idx="7">
                  <c:v>-0.31260446572067019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B5-45F7-8835-33BFABADCB6A}"/>
            </c:ext>
          </c:extLst>
        </c:ser>
        <c:ser>
          <c:idx val="2"/>
          <c:order val="2"/>
          <c:tx>
            <c:strRef>
              <c:f>径流结果!$N$43</c:f>
              <c:strCache>
                <c:ptCount val="1"/>
                <c:pt idx="0">
                  <c:v>无→严重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径流结果!$K$44:$K$51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径流结果!$N$44:$N$51</c:f>
              <c:numCache>
                <c:formatCode>0%</c:formatCode>
                <c:ptCount val="8"/>
                <c:pt idx="0">
                  <c:v>-0.3775933489823306</c:v>
                </c:pt>
                <c:pt idx="1">
                  <c:v>-0.43007834124737526</c:v>
                </c:pt>
                <c:pt idx="2">
                  <c:v>-0.42162873406177515</c:v>
                </c:pt>
                <c:pt idx="3">
                  <c:v>-0.39694418862744013</c:v>
                </c:pt>
                <c:pt idx="4">
                  <c:v>-0.33636719040256213</c:v>
                </c:pt>
                <c:pt idx="5">
                  <c:v>-0.32306671863099007</c:v>
                </c:pt>
                <c:pt idx="6">
                  <c:v>-0.32380673034486018</c:v>
                </c:pt>
                <c:pt idx="7">
                  <c:v>-0.31876159948765476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B5-45F7-8835-33BFABADCB6A}"/>
            </c:ext>
          </c:extLst>
        </c:ser>
        <c:ser>
          <c:idx val="3"/>
          <c:order val="3"/>
          <c:tx>
            <c:strRef>
              <c:f>径流结果!$O$43</c:f>
              <c:strCache>
                <c:ptCount val="1"/>
                <c:pt idx="0">
                  <c:v>无→特大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径流结果!$K$44:$K$51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径流结果!$O$44:$O$51</c:f>
              <c:numCache>
                <c:formatCode>0%</c:formatCode>
                <c:ptCount val="8"/>
                <c:pt idx="0">
                  <c:v>-0.38121153996078849</c:v>
                </c:pt>
                <c:pt idx="1">
                  <c:v>-0.43594129597105696</c:v>
                </c:pt>
                <c:pt idx="2">
                  <c:v>-0.42794161118757007</c:v>
                </c:pt>
                <c:pt idx="3">
                  <c:v>-0.40424706076889361</c:v>
                </c:pt>
                <c:pt idx="4">
                  <c:v>-0.34324646531365732</c:v>
                </c:pt>
                <c:pt idx="5">
                  <c:v>-0.32849680856809754</c:v>
                </c:pt>
                <c:pt idx="6">
                  <c:v>-0.33014228246104216</c:v>
                </c:pt>
                <c:pt idx="7">
                  <c:v>-0.32575837077535791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B5-45F7-8835-33BFABADCB6A}"/>
            </c:ext>
          </c:extLst>
        </c:ser>
        <c:ser>
          <c:idx val="4"/>
          <c:order val="4"/>
          <c:tx>
            <c:strRef>
              <c:f>径流结果!$P$43</c:f>
              <c:strCache>
                <c:ptCount val="1"/>
                <c:pt idx="0">
                  <c:v>无→极端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径流结果!$K$44:$K$51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径流结果!$P$44:$P$51</c:f>
              <c:numCache>
                <c:formatCode>0%</c:formatCode>
                <c:ptCount val="8"/>
                <c:pt idx="0">
                  <c:v>0.63100005036664208</c:v>
                </c:pt>
                <c:pt idx="1">
                  <c:v>0.43393559423558026</c:v>
                </c:pt>
                <c:pt idx="2">
                  <c:v>0.34900100779064536</c:v>
                </c:pt>
                <c:pt idx="3">
                  <c:v>0.24904875809120761</c:v>
                </c:pt>
                <c:pt idx="4">
                  <c:v>0.22786974953360917</c:v>
                </c:pt>
                <c:pt idx="5">
                  <c:v>0.20821125011358158</c:v>
                </c:pt>
                <c:pt idx="6">
                  <c:v>0.18598676099271022</c:v>
                </c:pt>
                <c:pt idx="7">
                  <c:v>0.16813276813867511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B5-45F7-8835-33BFABADC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46481408"/>
        <c:axId val="1546498208"/>
      </c:barChart>
      <c:catAx>
        <c:axId val="154648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546498208"/>
        <c:crosses val="autoZero"/>
        <c:auto val="1"/>
        <c:lblAlgn val="ctr"/>
        <c:lblOffset val="100"/>
        <c:noMultiLvlLbl val="0"/>
      </c:catAx>
      <c:valAx>
        <c:axId val="154649820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46481408"/>
        <c:crosses val="autoZero"/>
        <c:crossBetween val="between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2921071492564057"/>
          <c:y val="6.1725696240553088E-2"/>
          <c:w val="0.8060083912068271"/>
          <c:h val="0.117603298047344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30043079048614"/>
          <c:y val="8.2052952473067153E-2"/>
          <c:w val="0.8106432688140629"/>
          <c:h val="0.88947168921232"/>
        </c:manualLayout>
      </c:layout>
      <c:lineChart>
        <c:grouping val="standard"/>
        <c:varyColors val="0"/>
        <c:ser>
          <c:idx val="0"/>
          <c:order val="0"/>
          <c:tx>
            <c:strRef>
              <c:f>径流结果!$L$54</c:f>
              <c:strCache>
                <c:ptCount val="1"/>
                <c:pt idx="0">
                  <c:v>无→轻度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FF00"/>
              </a:solidFill>
              <a:ln w="9525">
                <a:solidFill>
                  <a:srgbClr val="FFCC66"/>
                </a:solidFill>
              </a:ln>
              <a:effectLst/>
            </c:spPr>
          </c:marker>
          <c:cat>
            <c:strRef>
              <c:f>径流结果!$K$55:$K$62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径流结果!$L$55:$L$62</c:f>
              <c:numCache>
                <c:formatCode>0%</c:formatCode>
                <c:ptCount val="8"/>
                <c:pt idx="0">
                  <c:v>-0.32321397826385573</c:v>
                </c:pt>
                <c:pt idx="1">
                  <c:v>-0.33696774438581384</c:v>
                </c:pt>
                <c:pt idx="2">
                  <c:v>-0.32399233457415472</c:v>
                </c:pt>
                <c:pt idx="3">
                  <c:v>-0.29133278438576787</c:v>
                </c:pt>
                <c:pt idx="4">
                  <c:v>-0.24120693125191212</c:v>
                </c:pt>
                <c:pt idx="5">
                  <c:v>-0.23438434072998512</c:v>
                </c:pt>
                <c:pt idx="6">
                  <c:v>-0.23619178980944633</c:v>
                </c:pt>
                <c:pt idx="7">
                  <c:v>-0.23104052668894376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A8-4D1C-A5A6-C9EACD4C622E}"/>
            </c:ext>
          </c:extLst>
        </c:ser>
        <c:ser>
          <c:idx val="1"/>
          <c:order val="1"/>
          <c:tx>
            <c:strRef>
              <c:f>径流结果!$M$54</c:f>
              <c:strCache>
                <c:ptCount val="1"/>
                <c:pt idx="0">
                  <c:v>无→中度</c:v>
                </c:pt>
              </c:strCache>
            </c:strRef>
          </c:tx>
          <c:spPr>
            <a:ln w="22225" cap="rnd">
              <a:solidFill>
                <a:srgbClr val="0000FF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cat>
            <c:strRef>
              <c:f>径流结果!$K$55:$K$62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径流结果!$M$55:$M$62</c:f>
              <c:numCache>
                <c:formatCode>0%</c:formatCode>
                <c:ptCount val="8"/>
                <c:pt idx="0">
                  <c:v>-0.37475092327493403</c:v>
                </c:pt>
                <c:pt idx="1">
                  <c:v>-0.42443521773843645</c:v>
                </c:pt>
                <c:pt idx="2">
                  <c:v>-0.41505763422271297</c:v>
                </c:pt>
                <c:pt idx="3">
                  <c:v>-0.38967780186706924</c:v>
                </c:pt>
                <c:pt idx="4">
                  <c:v>-0.33087258590332852</c:v>
                </c:pt>
                <c:pt idx="5">
                  <c:v>-0.316147262177146</c:v>
                </c:pt>
                <c:pt idx="6">
                  <c:v>-0.31770656110803391</c:v>
                </c:pt>
                <c:pt idx="7">
                  <c:v>-0.31260446572067019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A8-4D1C-A5A6-C9EACD4C622E}"/>
            </c:ext>
          </c:extLst>
        </c:ser>
        <c:ser>
          <c:idx val="2"/>
          <c:order val="2"/>
          <c:tx>
            <c:strRef>
              <c:f>径流结果!$N$54</c:f>
              <c:strCache>
                <c:ptCount val="1"/>
                <c:pt idx="0">
                  <c:v>无→严重</c:v>
                </c:pt>
              </c:strCache>
            </c:strRef>
          </c:tx>
          <c:spPr>
            <a:ln w="22225" cap="rnd">
              <a:solidFill>
                <a:srgbClr val="00FF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FF00"/>
              </a:solidFill>
              <a:ln w="9525">
                <a:solidFill>
                  <a:srgbClr val="00FF00"/>
                </a:solidFill>
              </a:ln>
              <a:effectLst/>
            </c:spPr>
          </c:marker>
          <c:cat>
            <c:strRef>
              <c:f>径流结果!$K$55:$K$62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径流结果!$N$55:$N$62</c:f>
              <c:numCache>
                <c:formatCode>0%</c:formatCode>
                <c:ptCount val="8"/>
                <c:pt idx="0">
                  <c:v>-0.3775933489823306</c:v>
                </c:pt>
                <c:pt idx="1">
                  <c:v>-0.43007834124737526</c:v>
                </c:pt>
                <c:pt idx="2">
                  <c:v>-0.42162873406177515</c:v>
                </c:pt>
                <c:pt idx="3">
                  <c:v>-0.39694418862744013</c:v>
                </c:pt>
                <c:pt idx="4">
                  <c:v>-0.33636719040256213</c:v>
                </c:pt>
                <c:pt idx="5">
                  <c:v>-0.32306671863099007</c:v>
                </c:pt>
                <c:pt idx="6">
                  <c:v>-0.32380673034486018</c:v>
                </c:pt>
                <c:pt idx="7">
                  <c:v>-0.31876159948765476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A8-4D1C-A5A6-C9EACD4C622E}"/>
            </c:ext>
          </c:extLst>
        </c:ser>
        <c:ser>
          <c:idx val="3"/>
          <c:order val="3"/>
          <c:tx>
            <c:strRef>
              <c:f>径流结果!$O$54</c:f>
              <c:strCache>
                <c:ptCount val="1"/>
                <c:pt idx="0">
                  <c:v>无→特大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径流结果!$K$55:$K$62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径流结果!$O$55:$O$62</c:f>
              <c:numCache>
                <c:formatCode>0%</c:formatCode>
                <c:ptCount val="8"/>
                <c:pt idx="0">
                  <c:v>-0.38121153996078849</c:v>
                </c:pt>
                <c:pt idx="1">
                  <c:v>-0.43594129597105696</c:v>
                </c:pt>
                <c:pt idx="2">
                  <c:v>-0.42794161118757007</c:v>
                </c:pt>
                <c:pt idx="3">
                  <c:v>-0.40424706076889361</c:v>
                </c:pt>
                <c:pt idx="4">
                  <c:v>-0.34324646531365732</c:v>
                </c:pt>
                <c:pt idx="5">
                  <c:v>-0.32849680856809754</c:v>
                </c:pt>
                <c:pt idx="6">
                  <c:v>-0.33014228246104216</c:v>
                </c:pt>
                <c:pt idx="7">
                  <c:v>-0.32575837077535791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A8-4D1C-A5A6-C9EACD4C6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6467968"/>
        <c:axId val="1546460288"/>
      </c:lineChart>
      <c:catAx>
        <c:axId val="154646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46460288"/>
        <c:crosses val="autoZero"/>
        <c:auto val="1"/>
        <c:lblAlgn val="ctr"/>
        <c:lblOffset val="100"/>
        <c:noMultiLvlLbl val="0"/>
      </c:catAx>
      <c:valAx>
        <c:axId val="1546460288"/>
        <c:scaling>
          <c:orientation val="minMax"/>
          <c:max val="-0.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46467968"/>
        <c:crosses val="autoZero"/>
        <c:crossBetween val="between"/>
      </c:valAx>
      <c:spPr>
        <a:noFill/>
        <a:ln w="6350"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5917020893561888"/>
          <c:y val="0.79246388703035242"/>
          <c:w val="0.48058615980195446"/>
          <c:h val="0.122949758940937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径流结果!$AU$31</c:f>
              <c:strCache>
                <c:ptCount val="1"/>
                <c:pt idx="0">
                  <c:v>无干旱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径流结果!$AT$32:$AT$38</c:f>
              <c:strCache>
                <c:ptCount val="7"/>
                <c:pt idx="0">
                  <c:v>1a→2a</c:v>
                </c:pt>
                <c:pt idx="1">
                  <c:v>1a→3a</c:v>
                </c:pt>
                <c:pt idx="2">
                  <c:v>1a→5a</c:v>
                </c:pt>
                <c:pt idx="3">
                  <c:v>1a→10a</c:v>
                </c:pt>
                <c:pt idx="4">
                  <c:v>1a→30a</c:v>
                </c:pt>
                <c:pt idx="5">
                  <c:v>1a→50a</c:v>
                </c:pt>
                <c:pt idx="6">
                  <c:v>1a→100a</c:v>
                </c:pt>
              </c:strCache>
            </c:strRef>
          </c:cat>
          <c:val>
            <c:numRef>
              <c:f>径流结果!$AU$32:$AU$38</c:f>
              <c:numCache>
                <c:formatCode>0.00_ </c:formatCode>
                <c:ptCount val="7"/>
                <c:pt idx="0">
                  <c:v>1.1221072948239394</c:v>
                </c:pt>
                <c:pt idx="1">
                  <c:v>1.7938693996083885</c:v>
                </c:pt>
                <c:pt idx="2">
                  <c:v>2.5850621609595406</c:v>
                </c:pt>
                <c:pt idx="3">
                  <c:v>3.4244077059404003</c:v>
                </c:pt>
                <c:pt idx="4">
                  <c:v>4.8439812802172924</c:v>
                </c:pt>
                <c:pt idx="5">
                  <c:v>5.564873694623504</c:v>
                </c:pt>
                <c:pt idx="6">
                  <c:v>6.516916393831405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5-4BB3-A662-A815F5C98017}"/>
            </c:ext>
          </c:extLst>
        </c:ser>
        <c:ser>
          <c:idx val="1"/>
          <c:order val="1"/>
          <c:tx>
            <c:strRef>
              <c:f>径流结果!$AV$31</c:f>
              <c:strCache>
                <c:ptCount val="1"/>
                <c:pt idx="0">
                  <c:v>轻度干旱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径流结果!$AT$32:$AT$38</c:f>
              <c:strCache>
                <c:ptCount val="7"/>
                <c:pt idx="0">
                  <c:v>1a→2a</c:v>
                </c:pt>
                <c:pt idx="1">
                  <c:v>1a→3a</c:v>
                </c:pt>
                <c:pt idx="2">
                  <c:v>1a→5a</c:v>
                </c:pt>
                <c:pt idx="3">
                  <c:v>1a→10a</c:v>
                </c:pt>
                <c:pt idx="4">
                  <c:v>1a→30a</c:v>
                </c:pt>
                <c:pt idx="5">
                  <c:v>1a→50a</c:v>
                </c:pt>
                <c:pt idx="6">
                  <c:v>1a→100a</c:v>
                </c:pt>
              </c:strCache>
            </c:strRef>
          </c:cat>
          <c:val>
            <c:numRef>
              <c:f>径流结果!$AV$32:$AV$38</c:f>
              <c:numCache>
                <c:formatCode>0.00_ </c:formatCode>
                <c:ptCount val="7"/>
                <c:pt idx="0">
                  <c:v>1.0789814522661441</c:v>
                </c:pt>
                <c:pt idx="1">
                  <c:v>1.7906562335448255</c:v>
                </c:pt>
                <c:pt idx="2">
                  <c:v>2.753942808827158</c:v>
                </c:pt>
                <c:pt idx="3">
                  <c:v>3.9605189716699933</c:v>
                </c:pt>
                <c:pt idx="4">
                  <c:v>5.6110165353851569</c:v>
                </c:pt>
                <c:pt idx="5">
                  <c:v>6.4089952596159439</c:v>
                </c:pt>
                <c:pt idx="6">
                  <c:v>7.5406670431756417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15-4BB3-A662-A815F5C98017}"/>
            </c:ext>
          </c:extLst>
        </c:ser>
        <c:ser>
          <c:idx val="2"/>
          <c:order val="2"/>
          <c:tx>
            <c:strRef>
              <c:f>径流结果!$AW$31</c:f>
              <c:strCache>
                <c:ptCount val="1"/>
                <c:pt idx="0">
                  <c:v>中度干旱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径流结果!$AT$32:$AT$38</c:f>
              <c:strCache>
                <c:ptCount val="7"/>
                <c:pt idx="0">
                  <c:v>1a→2a</c:v>
                </c:pt>
                <c:pt idx="1">
                  <c:v>1a→3a</c:v>
                </c:pt>
                <c:pt idx="2">
                  <c:v>1a→5a</c:v>
                </c:pt>
                <c:pt idx="3">
                  <c:v>1a→10a</c:v>
                </c:pt>
                <c:pt idx="4">
                  <c:v>1a→30a</c:v>
                </c:pt>
                <c:pt idx="5">
                  <c:v>1a→50a</c:v>
                </c:pt>
                <c:pt idx="6">
                  <c:v>1a→100a</c:v>
                </c:pt>
              </c:strCache>
            </c:strRef>
          </c:cat>
          <c:val>
            <c:numRef>
              <c:f>径流结果!$AW$32:$AW$38</c:f>
              <c:numCache>
                <c:formatCode>0.00_ </c:formatCode>
                <c:ptCount val="7"/>
                <c:pt idx="0">
                  <c:v>0.95347785154442366</c:v>
                </c:pt>
                <c:pt idx="1">
                  <c:v>1.6137624782104421</c:v>
                </c:pt>
                <c:pt idx="2">
                  <c:v>2.499474209511142</c:v>
                </c:pt>
                <c:pt idx="3">
                  <c:v>3.7349010136756622</c:v>
                </c:pt>
                <c:pt idx="4">
                  <c:v>5.3917289077731922</c:v>
                </c:pt>
                <c:pt idx="5">
                  <c:v>6.1638174540890285</c:v>
                </c:pt>
                <c:pt idx="6">
                  <c:v>7.2640582017890152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15-4BB3-A662-A815F5C98017}"/>
            </c:ext>
          </c:extLst>
        </c:ser>
        <c:ser>
          <c:idx val="3"/>
          <c:order val="3"/>
          <c:tx>
            <c:strRef>
              <c:f>径流结果!$AX$31</c:f>
              <c:strCache>
                <c:ptCount val="1"/>
                <c:pt idx="0">
                  <c:v>严重干旱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径流结果!$AT$32:$AT$38</c:f>
              <c:strCache>
                <c:ptCount val="7"/>
                <c:pt idx="0">
                  <c:v>1a→2a</c:v>
                </c:pt>
                <c:pt idx="1">
                  <c:v>1a→3a</c:v>
                </c:pt>
                <c:pt idx="2">
                  <c:v>1a→5a</c:v>
                </c:pt>
                <c:pt idx="3">
                  <c:v>1a→10a</c:v>
                </c:pt>
                <c:pt idx="4">
                  <c:v>1a→30a</c:v>
                </c:pt>
                <c:pt idx="5">
                  <c:v>1a→50a</c:v>
                </c:pt>
                <c:pt idx="6">
                  <c:v>1a→100a</c:v>
                </c:pt>
              </c:strCache>
            </c:strRef>
          </c:cat>
          <c:val>
            <c:numRef>
              <c:f>径流结果!$AX$32:$AX$38</c:f>
              <c:numCache>
                <c:formatCode>0.00_ </c:formatCode>
                <c:ptCount val="7"/>
                <c:pt idx="0">
                  <c:v>0.94315871711783872</c:v>
                </c:pt>
                <c:pt idx="1">
                  <c:v>1.5962026255270503</c:v>
                </c:pt>
                <c:pt idx="2">
                  <c:v>2.4736013292331318</c:v>
                </c:pt>
                <c:pt idx="3">
                  <c:v>3.7174658431058885</c:v>
                </c:pt>
                <c:pt idx="4">
                  <c:v>5.3559497923235613</c:v>
                </c:pt>
                <c:pt idx="5">
                  <c:v>6.1321914718974675</c:v>
                </c:pt>
                <c:pt idx="6">
                  <c:v>7.227437950005708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15-4BB3-A662-A815F5C98017}"/>
            </c:ext>
          </c:extLst>
        </c:ser>
        <c:ser>
          <c:idx val="4"/>
          <c:order val="4"/>
          <c:tx>
            <c:strRef>
              <c:f>径流结果!$AY$31</c:f>
              <c:strCache>
                <c:ptCount val="1"/>
                <c:pt idx="0">
                  <c:v>特大干旱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径流结果!$AT$32:$AT$38</c:f>
              <c:strCache>
                <c:ptCount val="7"/>
                <c:pt idx="0">
                  <c:v>1a→2a</c:v>
                </c:pt>
                <c:pt idx="1">
                  <c:v>1a→3a</c:v>
                </c:pt>
                <c:pt idx="2">
                  <c:v>1a→5a</c:v>
                </c:pt>
                <c:pt idx="3">
                  <c:v>1a→10a</c:v>
                </c:pt>
                <c:pt idx="4">
                  <c:v>1a→30a</c:v>
                </c:pt>
                <c:pt idx="5">
                  <c:v>1a→50a</c:v>
                </c:pt>
                <c:pt idx="6">
                  <c:v>1a→100a</c:v>
                </c:pt>
              </c:strCache>
            </c:strRef>
          </c:cat>
          <c:val>
            <c:numRef>
              <c:f>径流结果!$AY$32:$AY$38</c:f>
              <c:numCache>
                <c:formatCode>0.00_ </c:formatCode>
                <c:ptCount val="7"/>
                <c:pt idx="0">
                  <c:v>0.93441404911285209</c:v>
                </c:pt>
                <c:pt idx="1">
                  <c:v>1.5828801448414973</c:v>
                </c:pt>
                <c:pt idx="2">
                  <c:v>2.4516017308766966</c:v>
                </c:pt>
                <c:pt idx="3">
                  <c:v>3.6958622977321176</c:v>
                </c:pt>
                <c:pt idx="4">
                  <c:v>5.3418313911114863</c:v>
                </c:pt>
                <c:pt idx="5">
                  <c:v>6.1066795730699015</c:v>
                </c:pt>
                <c:pt idx="6">
                  <c:v>7.1905502177612428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15-4BB3-A662-A815F5C98017}"/>
            </c:ext>
          </c:extLst>
        </c:ser>
        <c:ser>
          <c:idx val="5"/>
          <c:order val="5"/>
          <c:tx>
            <c:strRef>
              <c:f>径流结果!$AZ$31</c:f>
              <c:strCache>
                <c:ptCount val="1"/>
                <c:pt idx="0">
                  <c:v>极端干旱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径流结果!$AT$32:$AT$38</c:f>
              <c:strCache>
                <c:ptCount val="7"/>
                <c:pt idx="0">
                  <c:v>1a→2a</c:v>
                </c:pt>
                <c:pt idx="1">
                  <c:v>1a→3a</c:v>
                </c:pt>
                <c:pt idx="2">
                  <c:v>1a→5a</c:v>
                </c:pt>
                <c:pt idx="3">
                  <c:v>1a→10a</c:v>
                </c:pt>
                <c:pt idx="4">
                  <c:v>1a→30a</c:v>
                </c:pt>
                <c:pt idx="5">
                  <c:v>1a→50a</c:v>
                </c:pt>
                <c:pt idx="6">
                  <c:v>1a→100a</c:v>
                </c:pt>
              </c:strCache>
            </c:strRef>
          </c:cat>
          <c:val>
            <c:numRef>
              <c:f>径流结果!$AZ$32:$AZ$38</c:f>
              <c:numCache>
                <c:formatCode>0.00_ </c:formatCode>
                <c:ptCount val="7"/>
                <c:pt idx="0">
                  <c:v>0.86570514461417658</c:v>
                </c:pt>
                <c:pt idx="1">
                  <c:v>1.310810864083003</c:v>
                </c:pt>
                <c:pt idx="2">
                  <c:v>1.7455041701682827</c:v>
                </c:pt>
                <c:pt idx="3">
                  <c:v>2.3308376541781128</c:v>
                </c:pt>
                <c:pt idx="4">
                  <c:v>3.3291009872283408</c:v>
                </c:pt>
                <c:pt idx="5">
                  <c:v>3.7736683316855499</c:v>
                </c:pt>
                <c:pt idx="6">
                  <c:v>4.3836640612116398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D15-4BB3-A662-A815F5C98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46508768"/>
        <c:axId val="1546458368"/>
      </c:barChart>
      <c:catAx>
        <c:axId val="154650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6458368"/>
        <c:crosses val="autoZero"/>
        <c:auto val="1"/>
        <c:lblAlgn val="ctr"/>
        <c:lblOffset val="100"/>
        <c:noMultiLvlLbl val="0"/>
      </c:catAx>
      <c:valAx>
        <c:axId val="154645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650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206036745406824E-2"/>
          <c:y val="5.0925925925925923E-2"/>
          <c:w val="0.8782384076990376"/>
          <c:h val="0.83588655584718574"/>
        </c:manualLayout>
      </c:layout>
      <c:lineChart>
        <c:grouping val="standard"/>
        <c:varyColors val="0"/>
        <c:ser>
          <c:idx val="0"/>
          <c:order val="0"/>
          <c:tx>
            <c:strRef>
              <c:f>径流结果!$AU$18</c:f>
              <c:strCache>
                <c:ptCount val="1"/>
                <c:pt idx="0">
                  <c:v>无干旱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径流结果!$AT$19:$AT$25</c:f>
              <c:strCache>
                <c:ptCount val="7"/>
                <c:pt idx="0">
                  <c:v>1a→2a</c:v>
                </c:pt>
                <c:pt idx="1">
                  <c:v>2a→3a</c:v>
                </c:pt>
                <c:pt idx="2">
                  <c:v>3a→5a</c:v>
                </c:pt>
                <c:pt idx="3">
                  <c:v>5a→10a</c:v>
                </c:pt>
                <c:pt idx="4">
                  <c:v>10a→30a</c:v>
                </c:pt>
                <c:pt idx="5">
                  <c:v>30a→50a</c:v>
                </c:pt>
                <c:pt idx="6">
                  <c:v>50a→100a</c:v>
                </c:pt>
              </c:strCache>
            </c:strRef>
          </c:cat>
          <c:val>
            <c:numRef>
              <c:f>径流结果!$AU$19:$AU$25</c:f>
              <c:numCache>
                <c:formatCode>0.00_ </c:formatCode>
                <c:ptCount val="7"/>
                <c:pt idx="0">
                  <c:v>1.1221072948239394</c:v>
                </c:pt>
                <c:pt idx="1">
                  <c:v>0.31655426020303168</c:v>
                </c:pt>
                <c:pt idx="2">
                  <c:v>0.28318888544398391</c:v>
                </c:pt>
                <c:pt idx="3">
                  <c:v>0.23412301022870113</c:v>
                </c:pt>
                <c:pt idx="4">
                  <c:v>0.32085053381742185</c:v>
                </c:pt>
                <c:pt idx="5">
                  <c:v>0.12335638665485373</c:v>
                </c:pt>
                <c:pt idx="6">
                  <c:v>0.14502071837080485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EF-444D-8E5A-3F10797E326B}"/>
            </c:ext>
          </c:extLst>
        </c:ser>
        <c:ser>
          <c:idx val="1"/>
          <c:order val="1"/>
          <c:tx>
            <c:strRef>
              <c:f>径流结果!$AV$18</c:f>
              <c:strCache>
                <c:ptCount val="1"/>
                <c:pt idx="0">
                  <c:v>轻度干旱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径流结果!$AT$19:$AT$25</c:f>
              <c:strCache>
                <c:ptCount val="7"/>
                <c:pt idx="0">
                  <c:v>1a→2a</c:v>
                </c:pt>
                <c:pt idx="1">
                  <c:v>2a→3a</c:v>
                </c:pt>
                <c:pt idx="2">
                  <c:v>3a→5a</c:v>
                </c:pt>
                <c:pt idx="3">
                  <c:v>5a→10a</c:v>
                </c:pt>
                <c:pt idx="4">
                  <c:v>10a→30a</c:v>
                </c:pt>
                <c:pt idx="5">
                  <c:v>30a→50a</c:v>
                </c:pt>
                <c:pt idx="6">
                  <c:v>50a→100a</c:v>
                </c:pt>
              </c:strCache>
            </c:strRef>
          </c:cat>
          <c:val>
            <c:numRef>
              <c:f>径流结果!$AV$19:$AV$25</c:f>
              <c:numCache>
                <c:formatCode>0.00_ </c:formatCode>
                <c:ptCount val="7"/>
                <c:pt idx="0">
                  <c:v>1.0789814522661441</c:v>
                </c:pt>
                <c:pt idx="1">
                  <c:v>0.34231896609896989</c:v>
                </c:pt>
                <c:pt idx="2">
                  <c:v>0.34518281531893308</c:v>
                </c:pt>
                <c:pt idx="3">
                  <c:v>0.321415701913638</c:v>
                </c:pt>
                <c:pt idx="4">
                  <c:v>0.33272679192264276</c:v>
                </c:pt>
                <c:pt idx="5">
                  <c:v>0.12070439091471684</c:v>
                </c:pt>
                <c:pt idx="6">
                  <c:v>0.15274294879470063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EF-444D-8E5A-3F10797E326B}"/>
            </c:ext>
          </c:extLst>
        </c:ser>
        <c:ser>
          <c:idx val="2"/>
          <c:order val="2"/>
          <c:tx>
            <c:strRef>
              <c:f>径流结果!$AW$18</c:f>
              <c:strCache>
                <c:ptCount val="1"/>
                <c:pt idx="0">
                  <c:v>中度干旱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径流结果!$AT$19:$AT$25</c:f>
              <c:strCache>
                <c:ptCount val="7"/>
                <c:pt idx="0">
                  <c:v>1a→2a</c:v>
                </c:pt>
                <c:pt idx="1">
                  <c:v>2a→3a</c:v>
                </c:pt>
                <c:pt idx="2">
                  <c:v>3a→5a</c:v>
                </c:pt>
                <c:pt idx="3">
                  <c:v>5a→10a</c:v>
                </c:pt>
                <c:pt idx="4">
                  <c:v>10a→30a</c:v>
                </c:pt>
                <c:pt idx="5">
                  <c:v>30a→50a</c:v>
                </c:pt>
                <c:pt idx="6">
                  <c:v>50a→100a</c:v>
                </c:pt>
              </c:strCache>
            </c:strRef>
          </c:cat>
          <c:val>
            <c:numRef>
              <c:f>径流结果!$AW$19:$AW$25</c:f>
              <c:numCache>
                <c:formatCode>0.00_ </c:formatCode>
                <c:ptCount val="7"/>
                <c:pt idx="0">
                  <c:v>0.95347785154442366</c:v>
                </c:pt>
                <c:pt idx="1">
                  <c:v>0.33800466493336284</c:v>
                </c:pt>
                <c:pt idx="2">
                  <c:v>0.33886465915874558</c:v>
                </c:pt>
                <c:pt idx="3">
                  <c:v>0.35303212145606949</c:v>
                </c:pt>
                <c:pt idx="4">
                  <c:v>0.34991816921033148</c:v>
                </c:pt>
                <c:pt idx="5">
                  <c:v>0.12079494569565885</c:v>
                </c:pt>
                <c:pt idx="6">
                  <c:v>0.15358302396049786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EF-444D-8E5A-3F10797E326B}"/>
            </c:ext>
          </c:extLst>
        </c:ser>
        <c:ser>
          <c:idx val="3"/>
          <c:order val="3"/>
          <c:tx>
            <c:strRef>
              <c:f>径流结果!$AX$18</c:f>
              <c:strCache>
                <c:ptCount val="1"/>
                <c:pt idx="0">
                  <c:v>严重干旱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径流结果!$AT$19:$AT$25</c:f>
              <c:strCache>
                <c:ptCount val="7"/>
                <c:pt idx="0">
                  <c:v>1a→2a</c:v>
                </c:pt>
                <c:pt idx="1">
                  <c:v>2a→3a</c:v>
                </c:pt>
                <c:pt idx="2">
                  <c:v>3a→5a</c:v>
                </c:pt>
                <c:pt idx="3">
                  <c:v>5a→10a</c:v>
                </c:pt>
                <c:pt idx="4">
                  <c:v>10a→30a</c:v>
                </c:pt>
                <c:pt idx="5">
                  <c:v>30a→50a</c:v>
                </c:pt>
                <c:pt idx="6">
                  <c:v>50a→100a</c:v>
                </c:pt>
              </c:strCache>
            </c:strRef>
          </c:cat>
          <c:val>
            <c:numRef>
              <c:f>径流结果!$AX$19:$AX$25</c:f>
              <c:numCache>
                <c:formatCode>0.00_ </c:formatCode>
                <c:ptCount val="7"/>
                <c:pt idx="0">
                  <c:v>0.94315871711783872</c:v>
                </c:pt>
                <c:pt idx="1">
                  <c:v>0.33607337509610608</c:v>
                </c:pt>
                <c:pt idx="2">
                  <c:v>0.33795463230762368</c:v>
                </c:pt>
                <c:pt idx="3">
                  <c:v>0.35809075250076705</c:v>
                </c:pt>
                <c:pt idx="4">
                  <c:v>0.34732290677041272</c:v>
                </c:pt>
                <c:pt idx="5">
                  <c:v>0.12212835295071343</c:v>
                </c:pt>
                <c:pt idx="6">
                  <c:v>0.15356380748102072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EF-444D-8E5A-3F10797E326B}"/>
            </c:ext>
          </c:extLst>
        </c:ser>
        <c:ser>
          <c:idx val="4"/>
          <c:order val="4"/>
          <c:tx>
            <c:strRef>
              <c:f>径流结果!$AY$18</c:f>
              <c:strCache>
                <c:ptCount val="1"/>
                <c:pt idx="0">
                  <c:v>特大干旱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径流结果!$AT$19:$AT$25</c:f>
              <c:strCache>
                <c:ptCount val="7"/>
                <c:pt idx="0">
                  <c:v>1a→2a</c:v>
                </c:pt>
                <c:pt idx="1">
                  <c:v>2a→3a</c:v>
                </c:pt>
                <c:pt idx="2">
                  <c:v>3a→5a</c:v>
                </c:pt>
                <c:pt idx="3">
                  <c:v>5a→10a</c:v>
                </c:pt>
                <c:pt idx="4">
                  <c:v>10a→30a</c:v>
                </c:pt>
                <c:pt idx="5">
                  <c:v>30a→50a</c:v>
                </c:pt>
                <c:pt idx="6">
                  <c:v>50a→100a</c:v>
                </c:pt>
              </c:strCache>
            </c:strRef>
          </c:cat>
          <c:val>
            <c:numRef>
              <c:f>径流结果!$AY$19:$AY$25</c:f>
              <c:numCache>
                <c:formatCode>0.00_ </c:formatCode>
                <c:ptCount val="7"/>
                <c:pt idx="0">
                  <c:v>0.93441404911285209</c:v>
                </c:pt>
                <c:pt idx="1">
                  <c:v>0.33522610943920744</c:v>
                </c:pt>
                <c:pt idx="2">
                  <c:v>0.33633832672034802</c:v>
                </c:pt>
                <c:pt idx="3">
                  <c:v>0.36048787312995767</c:v>
                </c:pt>
                <c:pt idx="4">
                  <c:v>0.35051477002941389</c:v>
                </c:pt>
                <c:pt idx="5">
                  <c:v>0.12060367657052558</c:v>
                </c:pt>
                <c:pt idx="6">
                  <c:v>0.15251435407311267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EF-444D-8E5A-3F10797E326B}"/>
            </c:ext>
          </c:extLst>
        </c:ser>
        <c:ser>
          <c:idx val="5"/>
          <c:order val="5"/>
          <c:tx>
            <c:strRef>
              <c:f>径流结果!$AZ$18</c:f>
              <c:strCache>
                <c:ptCount val="1"/>
                <c:pt idx="0">
                  <c:v>极端干旱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径流结果!$AT$19:$AT$25</c:f>
              <c:strCache>
                <c:ptCount val="7"/>
                <c:pt idx="0">
                  <c:v>1a→2a</c:v>
                </c:pt>
                <c:pt idx="1">
                  <c:v>2a→3a</c:v>
                </c:pt>
                <c:pt idx="2">
                  <c:v>3a→5a</c:v>
                </c:pt>
                <c:pt idx="3">
                  <c:v>5a→10a</c:v>
                </c:pt>
                <c:pt idx="4">
                  <c:v>10a→30a</c:v>
                </c:pt>
                <c:pt idx="5">
                  <c:v>30a→50a</c:v>
                </c:pt>
                <c:pt idx="6">
                  <c:v>50a→100a</c:v>
                </c:pt>
              </c:strCache>
            </c:strRef>
          </c:cat>
          <c:val>
            <c:numRef>
              <c:f>径流结果!$AZ$19:$AZ$25</c:f>
              <c:numCache>
                <c:formatCode>0.00_ </c:formatCode>
                <c:ptCount val="7"/>
                <c:pt idx="0">
                  <c:v>0.86570514461417658</c:v>
                </c:pt>
                <c:pt idx="1">
                  <c:v>0.2385723814686018</c:v>
                </c:pt>
                <c:pt idx="2">
                  <c:v>0.188112888355222</c:v>
                </c:pt>
                <c:pt idx="3">
                  <c:v>0.21319708429871095</c:v>
                </c:pt>
                <c:pt idx="4">
                  <c:v>0.29970338896524534</c:v>
                </c:pt>
                <c:pt idx="5">
                  <c:v>0.10269276364048011</c:v>
                </c:pt>
                <c:pt idx="6">
                  <c:v>0.12778343343989815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EF-444D-8E5A-3F10797E3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5483024"/>
        <c:axId val="1485483984"/>
      </c:lineChart>
      <c:catAx>
        <c:axId val="148548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5483984"/>
        <c:crosses val="autoZero"/>
        <c:auto val="1"/>
        <c:lblAlgn val="ctr"/>
        <c:lblOffset val="100"/>
        <c:noMultiLvlLbl val="0"/>
      </c:catAx>
      <c:valAx>
        <c:axId val="1485483984"/>
        <c:scaling>
          <c:orientation val="minMax"/>
          <c:max val="1.2"/>
          <c:min val="0"/>
        </c:scaling>
        <c:delete val="0"/>
        <c:axPos val="l"/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5483024"/>
        <c:crosses val="autoZero"/>
        <c:crossBetween val="between"/>
        <c:minorUnit val="1.0000000000000002E-2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39445756766535528"/>
          <c:y val="5.4397054534849811E-2"/>
          <c:w val="0.49722112985345246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径流结果!$L$19</c:f>
              <c:strCache>
                <c:ptCount val="1"/>
                <c:pt idx="0">
                  <c:v>无→轻度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径流结果!$K$20:$K$27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径流结果!$L$20:$L$27</c:f>
              <c:numCache>
                <c:formatCode>0%</c:formatCode>
                <c:ptCount val="8"/>
                <c:pt idx="0">
                  <c:v>-0.32321397826385573</c:v>
                </c:pt>
                <c:pt idx="1">
                  <c:v>-0.33696774438581384</c:v>
                </c:pt>
                <c:pt idx="2">
                  <c:v>-0.32399233457415472</c:v>
                </c:pt>
                <c:pt idx="3">
                  <c:v>-0.29133278438576787</c:v>
                </c:pt>
                <c:pt idx="4">
                  <c:v>-0.24120693125191212</c:v>
                </c:pt>
                <c:pt idx="5">
                  <c:v>-0.23438434072998512</c:v>
                </c:pt>
                <c:pt idx="6">
                  <c:v>-0.23619178980944633</c:v>
                </c:pt>
                <c:pt idx="7">
                  <c:v>-0.23104052668894376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BE-4375-9D7D-49097A29FEC6}"/>
            </c:ext>
          </c:extLst>
        </c:ser>
        <c:ser>
          <c:idx val="1"/>
          <c:order val="1"/>
          <c:tx>
            <c:strRef>
              <c:f>径流结果!$M$19</c:f>
              <c:strCache>
                <c:ptCount val="1"/>
                <c:pt idx="0">
                  <c:v>轻度→中度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径流结果!$K$20:$K$27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径流结果!$M$20:$M$27</c:f>
              <c:numCache>
                <c:formatCode>0%</c:formatCode>
                <c:ptCount val="8"/>
                <c:pt idx="0">
                  <c:v>-7.6149541148724839E-2</c:v>
                </c:pt>
                <c:pt idx="1">
                  <c:v>-0.13192038941091777</c:v>
                </c:pt>
                <c:pt idx="2">
                  <c:v>-0.13471045419461691</c:v>
                </c:pt>
                <c:pt idx="3">
                  <c:v>-0.13877461143177275</c:v>
                </c:pt>
                <c:pt idx="4">
                  <c:v>-0.11816878454010303</c:v>
                </c:pt>
                <c:pt idx="5">
                  <c:v>-0.10679369009395479</c:v>
                </c:pt>
                <c:pt idx="6">
                  <c:v>-0.1067215175367798</c:v>
                </c:pt>
                <c:pt idx="7">
                  <c:v>-0.10607053019390079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BE-4375-9D7D-49097A29FEC6}"/>
            </c:ext>
          </c:extLst>
        </c:ser>
        <c:ser>
          <c:idx val="2"/>
          <c:order val="2"/>
          <c:tx>
            <c:strRef>
              <c:f>径流结果!$N$19</c:f>
              <c:strCache>
                <c:ptCount val="1"/>
                <c:pt idx="0">
                  <c:v>中度→严重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径流结果!$K$20:$K$27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径流结果!$N$20:$N$27</c:f>
              <c:numCache>
                <c:formatCode>0%</c:formatCode>
                <c:ptCount val="8"/>
                <c:pt idx="0">
                  <c:v>-4.5460694197017697E-3</c:v>
                </c:pt>
                <c:pt idx="1">
                  <c:v>-9.8044975697876378E-3</c:v>
                </c:pt>
                <c:pt idx="2">
                  <c:v>-1.1233756047624175E-2</c:v>
                </c:pt>
                <c:pt idx="3">
                  <c:v>-1.1905820864126988E-2</c:v>
                </c:pt>
                <c:pt idx="4">
                  <c:v>-8.2115967504506355E-3</c:v>
                </c:pt>
                <c:pt idx="5">
                  <c:v>-1.011834284070163E-2</c:v>
                </c:pt>
                <c:pt idx="6">
                  <c:v>-8.9406828339620228E-3</c:v>
                </c:pt>
                <c:pt idx="7">
                  <c:v>-8.9571919803635939E-3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BE-4375-9D7D-49097A29FEC6}"/>
            </c:ext>
          </c:extLst>
        </c:ser>
        <c:ser>
          <c:idx val="3"/>
          <c:order val="3"/>
          <c:tx>
            <c:strRef>
              <c:f>径流结果!$O$19</c:f>
              <c:strCache>
                <c:ptCount val="1"/>
                <c:pt idx="0">
                  <c:v>严重→特大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径流结果!$K$20:$K$27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径流结果!$O$20:$O$27</c:f>
              <c:numCache>
                <c:formatCode>0%</c:formatCode>
                <c:ptCount val="8"/>
                <c:pt idx="0">
                  <c:v>-5.813226726517043E-3</c:v>
                </c:pt>
                <c:pt idx="1">
                  <c:v>-1.0287299374643557E-2</c:v>
                </c:pt>
                <c:pt idx="2">
                  <c:v>-1.0914921777025435E-2</c:v>
                </c:pt>
                <c:pt idx="3">
                  <c:v>-1.210977823898593E-2</c:v>
                </c:pt>
                <c:pt idx="4">
                  <c:v>-1.0366086202501297E-2</c:v>
                </c:pt>
                <c:pt idx="5">
                  <c:v>-8.0216028470720731E-3</c:v>
                </c:pt>
                <c:pt idx="6">
                  <c:v>-9.3694397748340357E-3</c:v>
                </c:pt>
                <c:pt idx="7">
                  <c:v>-1.0270664839857821E-2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BE-4375-9D7D-49097A29FEC6}"/>
            </c:ext>
          </c:extLst>
        </c:ser>
        <c:ser>
          <c:idx val="4"/>
          <c:order val="4"/>
          <c:tx>
            <c:strRef>
              <c:f>径流结果!$P$19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径流结果!$K$20:$K$27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径流结果!$P$20:$P$27</c:f>
              <c:numCache>
                <c:formatCode>0.00_ 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BE-4375-9D7D-49097A29F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8867520"/>
        <c:axId val="788875680"/>
      </c:lineChart>
      <c:catAx>
        <c:axId val="78886752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8875680"/>
        <c:crosses val="max"/>
        <c:auto val="1"/>
        <c:lblAlgn val="ctr"/>
        <c:lblOffset val="100"/>
        <c:noMultiLvlLbl val="0"/>
      </c:catAx>
      <c:valAx>
        <c:axId val="78887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886752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0481428305624E-2"/>
          <c:y val="7.1724628171478552E-2"/>
          <c:w val="0.87913618895166501"/>
          <c:h val="0.66459025955088946"/>
        </c:manualLayout>
      </c:layout>
      <c:lineChart>
        <c:grouping val="standard"/>
        <c:varyColors val="0"/>
        <c:ser>
          <c:idx val="0"/>
          <c:order val="0"/>
          <c:tx>
            <c:strRef>
              <c:f>径流结果!$AU$31</c:f>
              <c:strCache>
                <c:ptCount val="1"/>
                <c:pt idx="0">
                  <c:v>无干旱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径流结果!$AT$32:$AT$38</c:f>
              <c:strCache>
                <c:ptCount val="7"/>
                <c:pt idx="0">
                  <c:v>1a→2a</c:v>
                </c:pt>
                <c:pt idx="1">
                  <c:v>1a→3a</c:v>
                </c:pt>
                <c:pt idx="2">
                  <c:v>1a→5a</c:v>
                </c:pt>
                <c:pt idx="3">
                  <c:v>1a→10a</c:v>
                </c:pt>
                <c:pt idx="4">
                  <c:v>1a→30a</c:v>
                </c:pt>
                <c:pt idx="5">
                  <c:v>1a→50a</c:v>
                </c:pt>
                <c:pt idx="6">
                  <c:v>1a→100a</c:v>
                </c:pt>
              </c:strCache>
            </c:strRef>
          </c:cat>
          <c:val>
            <c:numRef>
              <c:f>径流结果!$AU$32:$AU$38</c:f>
              <c:numCache>
                <c:formatCode>0.00_ </c:formatCode>
                <c:ptCount val="7"/>
                <c:pt idx="0">
                  <c:v>1.1221072948239394</c:v>
                </c:pt>
                <c:pt idx="1">
                  <c:v>1.7938693996083885</c:v>
                </c:pt>
                <c:pt idx="2">
                  <c:v>2.5850621609595406</c:v>
                </c:pt>
                <c:pt idx="3">
                  <c:v>3.4244077059404003</c:v>
                </c:pt>
                <c:pt idx="4">
                  <c:v>4.8439812802172924</c:v>
                </c:pt>
                <c:pt idx="5">
                  <c:v>5.564873694623504</c:v>
                </c:pt>
                <c:pt idx="6">
                  <c:v>6.516916393831405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91-4AAD-83A3-0731249F9749}"/>
            </c:ext>
          </c:extLst>
        </c:ser>
        <c:ser>
          <c:idx val="1"/>
          <c:order val="1"/>
          <c:tx>
            <c:strRef>
              <c:f>径流结果!$AV$31</c:f>
              <c:strCache>
                <c:ptCount val="1"/>
                <c:pt idx="0">
                  <c:v>轻度干旱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径流结果!$AT$32:$AT$38</c:f>
              <c:strCache>
                <c:ptCount val="7"/>
                <c:pt idx="0">
                  <c:v>1a→2a</c:v>
                </c:pt>
                <c:pt idx="1">
                  <c:v>1a→3a</c:v>
                </c:pt>
                <c:pt idx="2">
                  <c:v>1a→5a</c:v>
                </c:pt>
                <c:pt idx="3">
                  <c:v>1a→10a</c:v>
                </c:pt>
                <c:pt idx="4">
                  <c:v>1a→30a</c:v>
                </c:pt>
                <c:pt idx="5">
                  <c:v>1a→50a</c:v>
                </c:pt>
                <c:pt idx="6">
                  <c:v>1a→100a</c:v>
                </c:pt>
              </c:strCache>
            </c:strRef>
          </c:cat>
          <c:val>
            <c:numRef>
              <c:f>径流结果!$AV$32:$AV$38</c:f>
              <c:numCache>
                <c:formatCode>0.00_ </c:formatCode>
                <c:ptCount val="7"/>
                <c:pt idx="0">
                  <c:v>1.0789814522661441</c:v>
                </c:pt>
                <c:pt idx="1">
                  <c:v>1.7906562335448255</c:v>
                </c:pt>
                <c:pt idx="2">
                  <c:v>2.753942808827158</c:v>
                </c:pt>
                <c:pt idx="3">
                  <c:v>3.9605189716699933</c:v>
                </c:pt>
                <c:pt idx="4">
                  <c:v>5.6110165353851569</c:v>
                </c:pt>
                <c:pt idx="5">
                  <c:v>6.4089952596159439</c:v>
                </c:pt>
                <c:pt idx="6">
                  <c:v>7.5406670431756417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91-4AAD-83A3-0731249F9749}"/>
            </c:ext>
          </c:extLst>
        </c:ser>
        <c:ser>
          <c:idx val="2"/>
          <c:order val="2"/>
          <c:tx>
            <c:strRef>
              <c:f>径流结果!$AW$31</c:f>
              <c:strCache>
                <c:ptCount val="1"/>
                <c:pt idx="0">
                  <c:v>中度干旱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径流结果!$AT$32:$AT$38</c:f>
              <c:strCache>
                <c:ptCount val="7"/>
                <c:pt idx="0">
                  <c:v>1a→2a</c:v>
                </c:pt>
                <c:pt idx="1">
                  <c:v>1a→3a</c:v>
                </c:pt>
                <c:pt idx="2">
                  <c:v>1a→5a</c:v>
                </c:pt>
                <c:pt idx="3">
                  <c:v>1a→10a</c:v>
                </c:pt>
                <c:pt idx="4">
                  <c:v>1a→30a</c:v>
                </c:pt>
                <c:pt idx="5">
                  <c:v>1a→50a</c:v>
                </c:pt>
                <c:pt idx="6">
                  <c:v>1a→100a</c:v>
                </c:pt>
              </c:strCache>
            </c:strRef>
          </c:cat>
          <c:val>
            <c:numRef>
              <c:f>径流结果!$AW$32:$AW$38</c:f>
              <c:numCache>
                <c:formatCode>0.00_ </c:formatCode>
                <c:ptCount val="7"/>
                <c:pt idx="0">
                  <c:v>0.95347785154442366</c:v>
                </c:pt>
                <c:pt idx="1">
                  <c:v>1.6137624782104421</c:v>
                </c:pt>
                <c:pt idx="2">
                  <c:v>2.499474209511142</c:v>
                </c:pt>
                <c:pt idx="3">
                  <c:v>3.7349010136756622</c:v>
                </c:pt>
                <c:pt idx="4">
                  <c:v>5.3917289077731922</c:v>
                </c:pt>
                <c:pt idx="5">
                  <c:v>6.1638174540890285</c:v>
                </c:pt>
                <c:pt idx="6">
                  <c:v>7.2640582017890152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91-4AAD-83A3-0731249F9749}"/>
            </c:ext>
          </c:extLst>
        </c:ser>
        <c:ser>
          <c:idx val="3"/>
          <c:order val="3"/>
          <c:tx>
            <c:strRef>
              <c:f>径流结果!$AX$31</c:f>
              <c:strCache>
                <c:ptCount val="1"/>
                <c:pt idx="0">
                  <c:v>严重干旱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径流结果!$AT$32:$AT$38</c:f>
              <c:strCache>
                <c:ptCount val="7"/>
                <c:pt idx="0">
                  <c:v>1a→2a</c:v>
                </c:pt>
                <c:pt idx="1">
                  <c:v>1a→3a</c:v>
                </c:pt>
                <c:pt idx="2">
                  <c:v>1a→5a</c:v>
                </c:pt>
                <c:pt idx="3">
                  <c:v>1a→10a</c:v>
                </c:pt>
                <c:pt idx="4">
                  <c:v>1a→30a</c:v>
                </c:pt>
                <c:pt idx="5">
                  <c:v>1a→50a</c:v>
                </c:pt>
                <c:pt idx="6">
                  <c:v>1a→100a</c:v>
                </c:pt>
              </c:strCache>
            </c:strRef>
          </c:cat>
          <c:val>
            <c:numRef>
              <c:f>径流结果!$AX$32:$AX$38</c:f>
              <c:numCache>
                <c:formatCode>0.00_ </c:formatCode>
                <c:ptCount val="7"/>
                <c:pt idx="0">
                  <c:v>0.94315871711783872</c:v>
                </c:pt>
                <c:pt idx="1">
                  <c:v>1.5962026255270503</c:v>
                </c:pt>
                <c:pt idx="2">
                  <c:v>2.4736013292331318</c:v>
                </c:pt>
                <c:pt idx="3">
                  <c:v>3.7174658431058885</c:v>
                </c:pt>
                <c:pt idx="4">
                  <c:v>5.3559497923235613</c:v>
                </c:pt>
                <c:pt idx="5">
                  <c:v>6.1321914718974675</c:v>
                </c:pt>
                <c:pt idx="6">
                  <c:v>7.227437950005708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91-4AAD-83A3-0731249F9749}"/>
            </c:ext>
          </c:extLst>
        </c:ser>
        <c:ser>
          <c:idx val="4"/>
          <c:order val="4"/>
          <c:tx>
            <c:strRef>
              <c:f>径流结果!$AY$31</c:f>
              <c:strCache>
                <c:ptCount val="1"/>
                <c:pt idx="0">
                  <c:v>特大干旱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径流结果!$AT$32:$AT$38</c:f>
              <c:strCache>
                <c:ptCount val="7"/>
                <c:pt idx="0">
                  <c:v>1a→2a</c:v>
                </c:pt>
                <c:pt idx="1">
                  <c:v>1a→3a</c:v>
                </c:pt>
                <c:pt idx="2">
                  <c:v>1a→5a</c:v>
                </c:pt>
                <c:pt idx="3">
                  <c:v>1a→10a</c:v>
                </c:pt>
                <c:pt idx="4">
                  <c:v>1a→30a</c:v>
                </c:pt>
                <c:pt idx="5">
                  <c:v>1a→50a</c:v>
                </c:pt>
                <c:pt idx="6">
                  <c:v>1a→100a</c:v>
                </c:pt>
              </c:strCache>
            </c:strRef>
          </c:cat>
          <c:val>
            <c:numRef>
              <c:f>径流结果!$AY$32:$AY$38</c:f>
              <c:numCache>
                <c:formatCode>0.00_ </c:formatCode>
                <c:ptCount val="7"/>
                <c:pt idx="0">
                  <c:v>0.93441404911285209</c:v>
                </c:pt>
                <c:pt idx="1">
                  <c:v>1.5828801448414973</c:v>
                </c:pt>
                <c:pt idx="2">
                  <c:v>2.4516017308766966</c:v>
                </c:pt>
                <c:pt idx="3">
                  <c:v>3.6958622977321176</c:v>
                </c:pt>
                <c:pt idx="4">
                  <c:v>5.3418313911114863</c:v>
                </c:pt>
                <c:pt idx="5">
                  <c:v>6.1066795730699015</c:v>
                </c:pt>
                <c:pt idx="6">
                  <c:v>7.1905502177612428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91-4AAD-83A3-0731249F9749}"/>
            </c:ext>
          </c:extLst>
        </c:ser>
        <c:ser>
          <c:idx val="5"/>
          <c:order val="5"/>
          <c:tx>
            <c:strRef>
              <c:f>径流结果!$AZ$31</c:f>
              <c:strCache>
                <c:ptCount val="1"/>
                <c:pt idx="0">
                  <c:v>极端干旱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径流结果!$AT$32:$AT$38</c:f>
              <c:strCache>
                <c:ptCount val="7"/>
                <c:pt idx="0">
                  <c:v>1a→2a</c:v>
                </c:pt>
                <c:pt idx="1">
                  <c:v>1a→3a</c:v>
                </c:pt>
                <c:pt idx="2">
                  <c:v>1a→5a</c:v>
                </c:pt>
                <c:pt idx="3">
                  <c:v>1a→10a</c:v>
                </c:pt>
                <c:pt idx="4">
                  <c:v>1a→30a</c:v>
                </c:pt>
                <c:pt idx="5">
                  <c:v>1a→50a</c:v>
                </c:pt>
                <c:pt idx="6">
                  <c:v>1a→100a</c:v>
                </c:pt>
              </c:strCache>
            </c:strRef>
          </c:cat>
          <c:val>
            <c:numRef>
              <c:f>径流结果!$AZ$32:$AZ$38</c:f>
              <c:numCache>
                <c:formatCode>0.00_ </c:formatCode>
                <c:ptCount val="7"/>
                <c:pt idx="0">
                  <c:v>0.86570514461417658</c:v>
                </c:pt>
                <c:pt idx="1">
                  <c:v>1.310810864083003</c:v>
                </c:pt>
                <c:pt idx="2">
                  <c:v>1.7455041701682827</c:v>
                </c:pt>
                <c:pt idx="3">
                  <c:v>2.3308376541781128</c:v>
                </c:pt>
                <c:pt idx="4">
                  <c:v>3.3291009872283408</c:v>
                </c:pt>
                <c:pt idx="5">
                  <c:v>3.7736683316855499</c:v>
                </c:pt>
                <c:pt idx="6">
                  <c:v>4.3836640612116398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B91-4AAD-83A3-0731249F9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8968000"/>
        <c:axId val="678968480"/>
      </c:lineChart>
      <c:catAx>
        <c:axId val="67896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8968480"/>
        <c:crosses val="autoZero"/>
        <c:auto val="1"/>
        <c:lblAlgn val="ctr"/>
        <c:lblOffset val="100"/>
        <c:noMultiLvlLbl val="0"/>
      </c:catAx>
      <c:valAx>
        <c:axId val="67896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896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径流结果!$AT$19</c:f>
              <c:strCache>
                <c:ptCount val="1"/>
                <c:pt idx="0">
                  <c:v>1a→2a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径流结果!$AU$18:$AZ$18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径流结果!$AU$19:$AZ$19</c:f>
              <c:numCache>
                <c:formatCode>0.00_ </c:formatCode>
                <c:ptCount val="6"/>
                <c:pt idx="0">
                  <c:v>1.1221072948239394</c:v>
                </c:pt>
                <c:pt idx="1">
                  <c:v>1.0789814522661441</c:v>
                </c:pt>
                <c:pt idx="2">
                  <c:v>0.95347785154442366</c:v>
                </c:pt>
                <c:pt idx="3">
                  <c:v>0.94315871711783872</c:v>
                </c:pt>
                <c:pt idx="4">
                  <c:v>0.93441404911285209</c:v>
                </c:pt>
                <c:pt idx="5">
                  <c:v>0.86570514461417658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A-442C-98AE-6C4690BA1611}"/>
            </c:ext>
          </c:extLst>
        </c:ser>
        <c:ser>
          <c:idx val="1"/>
          <c:order val="1"/>
          <c:tx>
            <c:strRef>
              <c:f>径流结果!$AT$20</c:f>
              <c:strCache>
                <c:ptCount val="1"/>
                <c:pt idx="0">
                  <c:v>2a→3a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径流结果!$AU$18:$AZ$18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径流结果!$AU$20:$AZ$20</c:f>
              <c:numCache>
                <c:formatCode>0.00_ </c:formatCode>
                <c:ptCount val="6"/>
                <c:pt idx="0">
                  <c:v>0.31655426020303168</c:v>
                </c:pt>
                <c:pt idx="1">
                  <c:v>0.34231896609896989</c:v>
                </c:pt>
                <c:pt idx="2">
                  <c:v>0.33800466493336284</c:v>
                </c:pt>
                <c:pt idx="3">
                  <c:v>0.33607337509610608</c:v>
                </c:pt>
                <c:pt idx="4">
                  <c:v>0.33522610943920744</c:v>
                </c:pt>
                <c:pt idx="5">
                  <c:v>0.2385723814686018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8A-442C-98AE-6C4690BA1611}"/>
            </c:ext>
          </c:extLst>
        </c:ser>
        <c:ser>
          <c:idx val="2"/>
          <c:order val="2"/>
          <c:tx>
            <c:strRef>
              <c:f>径流结果!$AT$21</c:f>
              <c:strCache>
                <c:ptCount val="1"/>
                <c:pt idx="0">
                  <c:v>3a→5a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径流结果!$AU$18:$AZ$18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径流结果!$AU$21:$AZ$21</c:f>
              <c:numCache>
                <c:formatCode>0.00_ </c:formatCode>
                <c:ptCount val="6"/>
                <c:pt idx="0">
                  <c:v>0.28318888544398391</c:v>
                </c:pt>
                <c:pt idx="1">
                  <c:v>0.34518281531893308</c:v>
                </c:pt>
                <c:pt idx="2">
                  <c:v>0.33886465915874558</c:v>
                </c:pt>
                <c:pt idx="3">
                  <c:v>0.33795463230762368</c:v>
                </c:pt>
                <c:pt idx="4">
                  <c:v>0.33633832672034802</c:v>
                </c:pt>
                <c:pt idx="5">
                  <c:v>0.188112888355222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8A-442C-98AE-6C4690BA1611}"/>
            </c:ext>
          </c:extLst>
        </c:ser>
        <c:ser>
          <c:idx val="3"/>
          <c:order val="3"/>
          <c:tx>
            <c:strRef>
              <c:f>径流结果!$AT$22</c:f>
              <c:strCache>
                <c:ptCount val="1"/>
                <c:pt idx="0">
                  <c:v>5a→10a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径流结果!$AU$18:$AZ$18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径流结果!$AU$22:$AZ$22</c:f>
              <c:numCache>
                <c:formatCode>0.00_ </c:formatCode>
                <c:ptCount val="6"/>
                <c:pt idx="0">
                  <c:v>0.23412301022870113</c:v>
                </c:pt>
                <c:pt idx="1">
                  <c:v>0.321415701913638</c:v>
                </c:pt>
                <c:pt idx="2">
                  <c:v>0.35303212145606949</c:v>
                </c:pt>
                <c:pt idx="3">
                  <c:v>0.35809075250076705</c:v>
                </c:pt>
                <c:pt idx="4">
                  <c:v>0.36048787312995767</c:v>
                </c:pt>
                <c:pt idx="5">
                  <c:v>0.21319708429871095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8A-442C-98AE-6C4690BA1611}"/>
            </c:ext>
          </c:extLst>
        </c:ser>
        <c:ser>
          <c:idx val="4"/>
          <c:order val="4"/>
          <c:tx>
            <c:strRef>
              <c:f>径流结果!$AT$23</c:f>
              <c:strCache>
                <c:ptCount val="1"/>
                <c:pt idx="0">
                  <c:v>10a→30a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径流结果!$AU$18:$AZ$18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径流结果!$AU$23:$AZ$23</c:f>
              <c:numCache>
                <c:formatCode>0.00_ </c:formatCode>
                <c:ptCount val="6"/>
                <c:pt idx="0">
                  <c:v>0.32085053381742185</c:v>
                </c:pt>
                <c:pt idx="1">
                  <c:v>0.33272679192264276</c:v>
                </c:pt>
                <c:pt idx="2">
                  <c:v>0.34991816921033148</c:v>
                </c:pt>
                <c:pt idx="3">
                  <c:v>0.34732290677041272</c:v>
                </c:pt>
                <c:pt idx="4">
                  <c:v>0.35051477002941389</c:v>
                </c:pt>
                <c:pt idx="5">
                  <c:v>0.29970338896524534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8A-442C-98AE-6C4690BA1611}"/>
            </c:ext>
          </c:extLst>
        </c:ser>
        <c:ser>
          <c:idx val="5"/>
          <c:order val="5"/>
          <c:tx>
            <c:strRef>
              <c:f>径流结果!$AT$24</c:f>
              <c:strCache>
                <c:ptCount val="1"/>
                <c:pt idx="0">
                  <c:v>30a→50a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径流结果!$AU$18:$AZ$18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径流结果!$AU$24:$AZ$24</c:f>
              <c:numCache>
                <c:formatCode>0.00_ </c:formatCode>
                <c:ptCount val="6"/>
                <c:pt idx="0">
                  <c:v>0.12335638665485373</c:v>
                </c:pt>
                <c:pt idx="1">
                  <c:v>0.12070439091471684</c:v>
                </c:pt>
                <c:pt idx="2">
                  <c:v>0.12079494569565885</c:v>
                </c:pt>
                <c:pt idx="3">
                  <c:v>0.12212835295071343</c:v>
                </c:pt>
                <c:pt idx="4">
                  <c:v>0.12060367657052558</c:v>
                </c:pt>
                <c:pt idx="5">
                  <c:v>0.10269276364048011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8A-442C-98AE-6C4690BA1611}"/>
            </c:ext>
          </c:extLst>
        </c:ser>
        <c:ser>
          <c:idx val="6"/>
          <c:order val="6"/>
          <c:tx>
            <c:strRef>
              <c:f>径流结果!$AT$25</c:f>
              <c:strCache>
                <c:ptCount val="1"/>
                <c:pt idx="0">
                  <c:v>50a→100a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径流结果!$AU$18:$AZ$18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径流结果!$AU$25:$AZ$25</c:f>
              <c:numCache>
                <c:formatCode>0.00_ </c:formatCode>
                <c:ptCount val="6"/>
                <c:pt idx="0">
                  <c:v>0.14502071837080485</c:v>
                </c:pt>
                <c:pt idx="1">
                  <c:v>0.15274294879470063</c:v>
                </c:pt>
                <c:pt idx="2">
                  <c:v>0.15358302396049786</c:v>
                </c:pt>
                <c:pt idx="3">
                  <c:v>0.15356380748102072</c:v>
                </c:pt>
                <c:pt idx="4">
                  <c:v>0.15251435407311267</c:v>
                </c:pt>
                <c:pt idx="5">
                  <c:v>0.12778343343989815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8A-442C-98AE-6C4690BA1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8070080"/>
        <c:axId val="858066240"/>
      </c:barChart>
      <c:catAx>
        <c:axId val="85807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8066240"/>
        <c:crosses val="autoZero"/>
        <c:auto val="1"/>
        <c:lblAlgn val="ctr"/>
        <c:lblOffset val="100"/>
        <c:noMultiLvlLbl val="0"/>
      </c:catAx>
      <c:valAx>
        <c:axId val="85806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807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53368328958893E-2"/>
          <c:y val="0.18039370078740158"/>
          <c:w val="0.87733552055993003"/>
          <c:h val="0.66277704870224552"/>
        </c:manualLayout>
      </c:layout>
      <c:lineChart>
        <c:grouping val="standard"/>
        <c:varyColors val="0"/>
        <c:ser>
          <c:idx val="0"/>
          <c:order val="0"/>
          <c:tx>
            <c:strRef>
              <c:f>径流结果!$K$55</c:f>
              <c:strCache>
                <c:ptCount val="1"/>
                <c:pt idx="0">
                  <c:v>1a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径流结果!$L$54:$O$54</c:f>
              <c:strCache>
                <c:ptCount val="4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</c:strCache>
            </c:strRef>
          </c:cat>
          <c:val>
            <c:numRef>
              <c:f>径流结果!$L$55:$O$55</c:f>
              <c:numCache>
                <c:formatCode>0%</c:formatCode>
                <c:ptCount val="4"/>
                <c:pt idx="0">
                  <c:v>-0.32321397826385573</c:v>
                </c:pt>
                <c:pt idx="1">
                  <c:v>-0.37475092327493403</c:v>
                </c:pt>
                <c:pt idx="2">
                  <c:v>-0.3775933489823306</c:v>
                </c:pt>
                <c:pt idx="3">
                  <c:v>-0.38121153996078849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18-41D6-83BF-4FD81FBA3DD9}"/>
            </c:ext>
          </c:extLst>
        </c:ser>
        <c:ser>
          <c:idx val="1"/>
          <c:order val="1"/>
          <c:tx>
            <c:strRef>
              <c:f>径流结果!$K$56</c:f>
              <c:strCache>
                <c:ptCount val="1"/>
                <c:pt idx="0">
                  <c:v>2a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径流结果!$L$54:$O$54</c:f>
              <c:strCache>
                <c:ptCount val="4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</c:strCache>
            </c:strRef>
          </c:cat>
          <c:val>
            <c:numRef>
              <c:f>径流结果!$L$56:$O$56</c:f>
              <c:numCache>
                <c:formatCode>0%</c:formatCode>
                <c:ptCount val="4"/>
                <c:pt idx="0">
                  <c:v>-0.33696774438581384</c:v>
                </c:pt>
                <c:pt idx="1">
                  <c:v>-0.42443521773843645</c:v>
                </c:pt>
                <c:pt idx="2">
                  <c:v>-0.43007834124737526</c:v>
                </c:pt>
                <c:pt idx="3">
                  <c:v>-0.43594129597105696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18-41D6-83BF-4FD81FBA3DD9}"/>
            </c:ext>
          </c:extLst>
        </c:ser>
        <c:ser>
          <c:idx val="2"/>
          <c:order val="2"/>
          <c:tx>
            <c:strRef>
              <c:f>径流结果!$K$57</c:f>
              <c:strCache>
                <c:ptCount val="1"/>
                <c:pt idx="0">
                  <c:v>3a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径流结果!$L$54:$O$54</c:f>
              <c:strCache>
                <c:ptCount val="4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</c:strCache>
            </c:strRef>
          </c:cat>
          <c:val>
            <c:numRef>
              <c:f>径流结果!$L$57:$O$57</c:f>
              <c:numCache>
                <c:formatCode>0%</c:formatCode>
                <c:ptCount val="4"/>
                <c:pt idx="0">
                  <c:v>-0.32399233457415472</c:v>
                </c:pt>
                <c:pt idx="1">
                  <c:v>-0.41505763422271297</c:v>
                </c:pt>
                <c:pt idx="2">
                  <c:v>-0.42162873406177515</c:v>
                </c:pt>
                <c:pt idx="3">
                  <c:v>-0.42794161118757007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18-41D6-83BF-4FD81FBA3DD9}"/>
            </c:ext>
          </c:extLst>
        </c:ser>
        <c:ser>
          <c:idx val="3"/>
          <c:order val="3"/>
          <c:tx>
            <c:strRef>
              <c:f>径流结果!$K$58</c:f>
              <c:strCache>
                <c:ptCount val="1"/>
                <c:pt idx="0">
                  <c:v>5a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径流结果!$L$54:$O$54</c:f>
              <c:strCache>
                <c:ptCount val="4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</c:strCache>
            </c:strRef>
          </c:cat>
          <c:val>
            <c:numRef>
              <c:f>径流结果!$L$58:$O$58</c:f>
              <c:numCache>
                <c:formatCode>0%</c:formatCode>
                <c:ptCount val="4"/>
                <c:pt idx="0">
                  <c:v>-0.29133278438576787</c:v>
                </c:pt>
                <c:pt idx="1">
                  <c:v>-0.38967780186706924</c:v>
                </c:pt>
                <c:pt idx="2">
                  <c:v>-0.39694418862744013</c:v>
                </c:pt>
                <c:pt idx="3">
                  <c:v>-0.40424706076889361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18-41D6-83BF-4FD81FBA3DD9}"/>
            </c:ext>
          </c:extLst>
        </c:ser>
        <c:ser>
          <c:idx val="4"/>
          <c:order val="4"/>
          <c:tx>
            <c:strRef>
              <c:f>径流结果!$K$59</c:f>
              <c:strCache>
                <c:ptCount val="1"/>
                <c:pt idx="0">
                  <c:v>10a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径流结果!$L$54:$O$54</c:f>
              <c:strCache>
                <c:ptCount val="4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</c:strCache>
            </c:strRef>
          </c:cat>
          <c:val>
            <c:numRef>
              <c:f>径流结果!$L$59:$O$59</c:f>
              <c:numCache>
                <c:formatCode>0%</c:formatCode>
                <c:ptCount val="4"/>
                <c:pt idx="0">
                  <c:v>-0.24120693125191212</c:v>
                </c:pt>
                <c:pt idx="1">
                  <c:v>-0.33087258590332852</c:v>
                </c:pt>
                <c:pt idx="2">
                  <c:v>-0.33636719040256213</c:v>
                </c:pt>
                <c:pt idx="3">
                  <c:v>-0.34324646531365732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18-41D6-83BF-4FD81FBA3DD9}"/>
            </c:ext>
          </c:extLst>
        </c:ser>
        <c:ser>
          <c:idx val="5"/>
          <c:order val="5"/>
          <c:tx>
            <c:strRef>
              <c:f>径流结果!$K$60</c:f>
              <c:strCache>
                <c:ptCount val="1"/>
                <c:pt idx="0">
                  <c:v>30a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径流结果!$L$54:$O$54</c:f>
              <c:strCache>
                <c:ptCount val="4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</c:strCache>
            </c:strRef>
          </c:cat>
          <c:val>
            <c:numRef>
              <c:f>径流结果!$L$60:$O$60</c:f>
              <c:numCache>
                <c:formatCode>0%</c:formatCode>
                <c:ptCount val="4"/>
                <c:pt idx="0">
                  <c:v>-0.23438434072998512</c:v>
                </c:pt>
                <c:pt idx="1">
                  <c:v>-0.316147262177146</c:v>
                </c:pt>
                <c:pt idx="2">
                  <c:v>-0.32306671863099007</c:v>
                </c:pt>
                <c:pt idx="3">
                  <c:v>-0.32849680856809754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18-41D6-83BF-4FD81FBA3DD9}"/>
            </c:ext>
          </c:extLst>
        </c:ser>
        <c:ser>
          <c:idx val="6"/>
          <c:order val="6"/>
          <c:tx>
            <c:strRef>
              <c:f>径流结果!$K$61</c:f>
              <c:strCache>
                <c:ptCount val="1"/>
                <c:pt idx="0">
                  <c:v>50a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径流结果!$L$54:$O$54</c:f>
              <c:strCache>
                <c:ptCount val="4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</c:strCache>
            </c:strRef>
          </c:cat>
          <c:val>
            <c:numRef>
              <c:f>径流结果!$L$61:$O$61</c:f>
              <c:numCache>
                <c:formatCode>0%</c:formatCode>
                <c:ptCount val="4"/>
                <c:pt idx="0">
                  <c:v>-0.23619178980944633</c:v>
                </c:pt>
                <c:pt idx="1">
                  <c:v>-0.31770656110803391</c:v>
                </c:pt>
                <c:pt idx="2">
                  <c:v>-0.32380673034486018</c:v>
                </c:pt>
                <c:pt idx="3">
                  <c:v>-0.33014228246104216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18-41D6-83BF-4FD81FBA3DD9}"/>
            </c:ext>
          </c:extLst>
        </c:ser>
        <c:ser>
          <c:idx val="7"/>
          <c:order val="7"/>
          <c:tx>
            <c:strRef>
              <c:f>径流结果!$K$62</c:f>
              <c:strCache>
                <c:ptCount val="1"/>
                <c:pt idx="0">
                  <c:v>100a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径流结果!$L$54:$O$54</c:f>
              <c:strCache>
                <c:ptCount val="4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</c:strCache>
            </c:strRef>
          </c:cat>
          <c:val>
            <c:numRef>
              <c:f>径流结果!$L$62:$O$62</c:f>
              <c:numCache>
                <c:formatCode>0%</c:formatCode>
                <c:ptCount val="4"/>
                <c:pt idx="0">
                  <c:v>-0.23104052668894376</c:v>
                </c:pt>
                <c:pt idx="1">
                  <c:v>-0.31260446572067019</c:v>
                </c:pt>
                <c:pt idx="2">
                  <c:v>-0.31876159948765476</c:v>
                </c:pt>
                <c:pt idx="3">
                  <c:v>-0.32575837077535791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18-41D6-83BF-4FD81FBA3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527808"/>
        <c:axId val="1651528768"/>
      </c:lineChart>
      <c:catAx>
        <c:axId val="16515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51528768"/>
        <c:crosses val="autoZero"/>
        <c:auto val="1"/>
        <c:lblAlgn val="ctr"/>
        <c:lblOffset val="100"/>
        <c:noMultiLvlLbl val="0"/>
      </c:catAx>
      <c:valAx>
        <c:axId val="1651528768"/>
        <c:scaling>
          <c:orientation val="minMax"/>
          <c:max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5152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5372747299518"/>
          <c:y val="5.0925925925925923E-2"/>
          <c:w val="0.85276073350997195"/>
          <c:h val="0.8127384076990376"/>
        </c:manualLayout>
      </c:layout>
      <c:lineChart>
        <c:grouping val="standard"/>
        <c:varyColors val="0"/>
        <c:ser>
          <c:idx val="0"/>
          <c:order val="0"/>
          <c:tx>
            <c:strRef>
              <c:f>径流结果!$C$3</c:f>
              <c:strCache>
                <c:ptCount val="1"/>
                <c:pt idx="0">
                  <c:v>无干旱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径流结果!$B$4:$B$11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径流结果!$C$4:$C$11</c:f>
              <c:numCache>
                <c:formatCode>0.00_ </c:formatCode>
                <c:ptCount val="8"/>
                <c:pt idx="0">
                  <c:v>30.941108600000049</c:v>
                </c:pt>
                <c:pt idx="1">
                  <c:v>65.660352269999834</c:v>
                </c:pt>
                <c:pt idx="2">
                  <c:v>86.445416507500084</c:v>
                </c:pt>
                <c:pt idx="3">
                  <c:v>110.92579766</c:v>
                </c:pt>
                <c:pt idx="4">
                  <c:v>136.89607932017901</c:v>
                </c:pt>
                <c:pt idx="5">
                  <c:v>180.81925944757057</c:v>
                </c:pt>
                <c:pt idx="6">
                  <c:v>203.1244699306294</c:v>
                </c:pt>
                <c:pt idx="7">
                  <c:v>232.58172647865823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06-4AAC-B9E1-DD91D939EBDC}"/>
            </c:ext>
          </c:extLst>
        </c:ser>
        <c:ser>
          <c:idx val="1"/>
          <c:order val="1"/>
          <c:tx>
            <c:strRef>
              <c:f>径流结果!$D$3</c:f>
              <c:strCache>
                <c:ptCount val="1"/>
                <c:pt idx="0">
                  <c:v>轻度干旱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径流结果!$B$4:$B$11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径流结果!$D$4:$D$11</c:f>
              <c:numCache>
                <c:formatCode>0.00_ </c:formatCode>
                <c:ptCount val="8"/>
                <c:pt idx="0">
                  <c:v>20.940509797500034</c:v>
                </c:pt>
                <c:pt idx="1">
                  <c:v>43.534931470000039</c:v>
                </c:pt>
                <c:pt idx="2">
                  <c:v>58.437764199999961</c:v>
                </c:pt>
                <c:pt idx="3">
                  <c:v>78.609476167499906</c:v>
                </c:pt>
                <c:pt idx="4">
                  <c:v>103.87579612694029</c:v>
                </c:pt>
                <c:pt idx="5">
                  <c:v>138.43805653066761</c:v>
                </c:pt>
                <c:pt idx="6">
                  <c:v>155.14813782361898</c:v>
                </c:pt>
                <c:pt idx="7">
                  <c:v>178.84592189480517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06-4AAC-B9E1-DD91D939EBDC}"/>
            </c:ext>
          </c:extLst>
        </c:ser>
        <c:ser>
          <c:idx val="2"/>
          <c:order val="2"/>
          <c:tx>
            <c:strRef>
              <c:f>径流结果!$E$3</c:f>
              <c:strCache>
                <c:ptCount val="1"/>
                <c:pt idx="0">
                  <c:v>中度干旱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径流结果!$B$4:$B$11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径流结果!$E$4:$E$11</c:f>
              <c:numCache>
                <c:formatCode>0.00_ </c:formatCode>
                <c:ptCount val="8"/>
                <c:pt idx="0">
                  <c:v>19.34589958500003</c:v>
                </c:pt>
                <c:pt idx="1">
                  <c:v>37.791786357500015</c:v>
                </c:pt>
                <c:pt idx="2">
                  <c:v>50.565586442500042</c:v>
                </c:pt>
                <c:pt idx="3">
                  <c:v>67.700476657499905</c:v>
                </c:pt>
                <c:pt idx="4">
                  <c:v>91.600919555484211</c:v>
                </c:pt>
                <c:pt idx="5">
                  <c:v>123.6537456243221</c:v>
                </c:pt>
                <c:pt idx="6">
                  <c:v>138.5904931120769</c:v>
                </c:pt>
                <c:pt idx="7">
                  <c:v>159.87564013640622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06-4AAC-B9E1-DD91D939EBDC}"/>
            </c:ext>
          </c:extLst>
        </c:ser>
        <c:ser>
          <c:idx val="3"/>
          <c:order val="3"/>
          <c:tx>
            <c:strRef>
              <c:f>径流结果!$F$3</c:f>
              <c:strCache>
                <c:ptCount val="1"/>
                <c:pt idx="0">
                  <c:v>严重干旱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径流结果!$B$4:$B$11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径流结果!$F$4:$F$11</c:f>
              <c:numCache>
                <c:formatCode>0.00_ </c:formatCode>
                <c:ptCount val="8"/>
                <c:pt idx="0">
                  <c:v>19.25795178250004</c:v>
                </c:pt>
                <c:pt idx="1">
                  <c:v>37.421256879999973</c:v>
                </c:pt>
                <c:pt idx="2">
                  <c:v>49.997544979999944</c:v>
                </c:pt>
                <c:pt idx="3">
                  <c:v>66.894446909999701</c:v>
                </c:pt>
                <c:pt idx="4">
                  <c:v>90.848729742124107</c:v>
                </c:pt>
                <c:pt idx="5">
                  <c:v>122.4025746325583</c:v>
                </c:pt>
                <c:pt idx="6">
                  <c:v>137.35139946935942</c:v>
                </c:pt>
                <c:pt idx="7">
                  <c:v>158.4436033347209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06-4AAC-B9E1-DD91D939EBDC}"/>
            </c:ext>
          </c:extLst>
        </c:ser>
        <c:ser>
          <c:idx val="4"/>
          <c:order val="4"/>
          <c:tx>
            <c:strRef>
              <c:f>径流结果!$G$3</c:f>
              <c:strCache>
                <c:ptCount val="1"/>
                <c:pt idx="0">
                  <c:v>特大干旱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径流结果!$B$4:$B$11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径流结果!$G$4:$G$11</c:f>
              <c:numCache>
                <c:formatCode>0.00_ </c:formatCode>
                <c:ptCount val="8"/>
                <c:pt idx="0">
                  <c:v>19.146000942500034</c:v>
                </c:pt>
                <c:pt idx="1">
                  <c:v>37.036293207499973</c:v>
                </c:pt>
                <c:pt idx="2">
                  <c:v>49.451825687499934</c:v>
                </c:pt>
                <c:pt idx="3">
                  <c:v>66.084369992499987</c:v>
                </c:pt>
                <c:pt idx="4">
                  <c:v>89.906983978229505</c:v>
                </c:pt>
                <c:pt idx="5">
                  <c:v>121.42070979139682</c:v>
                </c:pt>
                <c:pt idx="6">
                  <c:v>136.06449380404209</c:v>
                </c:pt>
                <c:pt idx="7">
                  <c:v>156.81628218885061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06-4AAC-B9E1-DD91D939EBDC}"/>
            </c:ext>
          </c:extLst>
        </c:ser>
        <c:ser>
          <c:idx val="5"/>
          <c:order val="5"/>
          <c:tx>
            <c:strRef>
              <c:f>径流结果!$H$3</c:f>
              <c:strCache>
                <c:ptCount val="1"/>
                <c:pt idx="0">
                  <c:v>极端干旱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径流结果!$B$4:$B$11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径流结果!$H$4:$H$11</c:f>
              <c:numCache>
                <c:formatCode>0.00_ </c:formatCode>
                <c:ptCount val="8"/>
                <c:pt idx="0">
                  <c:v>50.464949684999823</c:v>
                </c:pt>
                <c:pt idx="1">
                  <c:v>94.152716249999742</c:v>
                </c:pt>
                <c:pt idx="2">
                  <c:v>116.6149539874997</c:v>
                </c:pt>
                <c:pt idx="3">
                  <c:v>138.55172980749958</c:v>
                </c:pt>
                <c:pt idx="4">
                  <c:v>168.0905546270013</c:v>
                </c:pt>
                <c:pt idx="5">
                  <c:v>218.46786350176129</c:v>
                </c:pt>
                <c:pt idx="6">
                  <c:v>240.90293217138833</c:v>
                </c:pt>
                <c:pt idx="7">
                  <c:v>271.68633596998723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06-4AAC-B9E1-DD91D939E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0234336"/>
        <c:axId val="1840241536"/>
      </c:lineChart>
      <c:catAx>
        <c:axId val="184023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0241536"/>
        <c:crosses val="autoZero"/>
        <c:auto val="1"/>
        <c:lblAlgn val="ctr"/>
        <c:lblOffset val="100"/>
        <c:noMultiLvlLbl val="0"/>
      </c:catAx>
      <c:valAx>
        <c:axId val="184024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023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826985684566533E-2"/>
          <c:y val="9.6063721201516517E-2"/>
          <c:w val="0.49794114623176611"/>
          <c:h val="0.179435719702495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径流结果!$AT$19</c:f>
              <c:strCache>
                <c:ptCount val="1"/>
                <c:pt idx="0">
                  <c:v>1a→2a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径流结果!$AU$18:$AZ$18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径流结果!$AU$19:$AZ$19</c:f>
              <c:numCache>
                <c:formatCode>0.00_ </c:formatCode>
                <c:ptCount val="6"/>
                <c:pt idx="0">
                  <c:v>1.1221072948239394</c:v>
                </c:pt>
                <c:pt idx="1">
                  <c:v>1.0789814522661441</c:v>
                </c:pt>
                <c:pt idx="2">
                  <c:v>0.95347785154442366</c:v>
                </c:pt>
                <c:pt idx="3">
                  <c:v>0.94315871711783872</c:v>
                </c:pt>
                <c:pt idx="4">
                  <c:v>0.93441404911285209</c:v>
                </c:pt>
                <c:pt idx="5">
                  <c:v>0.86570514461417658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89-4A7F-BF2B-3A303455FD05}"/>
            </c:ext>
          </c:extLst>
        </c:ser>
        <c:ser>
          <c:idx val="1"/>
          <c:order val="1"/>
          <c:tx>
            <c:strRef>
              <c:f>径流结果!$AT$20</c:f>
              <c:strCache>
                <c:ptCount val="1"/>
                <c:pt idx="0">
                  <c:v>2a→3a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径流结果!$AU$18:$AZ$18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径流结果!$AU$20:$AZ$20</c:f>
              <c:numCache>
                <c:formatCode>0.00_ </c:formatCode>
                <c:ptCount val="6"/>
                <c:pt idx="0">
                  <c:v>0.31655426020303168</c:v>
                </c:pt>
                <c:pt idx="1">
                  <c:v>0.34231896609896989</c:v>
                </c:pt>
                <c:pt idx="2">
                  <c:v>0.33800466493336284</c:v>
                </c:pt>
                <c:pt idx="3">
                  <c:v>0.33607337509610608</c:v>
                </c:pt>
                <c:pt idx="4">
                  <c:v>0.33522610943920744</c:v>
                </c:pt>
                <c:pt idx="5">
                  <c:v>0.2385723814686018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89-4A7F-BF2B-3A303455FD05}"/>
            </c:ext>
          </c:extLst>
        </c:ser>
        <c:ser>
          <c:idx val="2"/>
          <c:order val="2"/>
          <c:tx>
            <c:strRef>
              <c:f>径流结果!$AT$21</c:f>
              <c:strCache>
                <c:ptCount val="1"/>
                <c:pt idx="0">
                  <c:v>3a→5a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径流结果!$AU$18:$AZ$18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径流结果!$AU$21:$AZ$21</c:f>
              <c:numCache>
                <c:formatCode>0.00_ </c:formatCode>
                <c:ptCount val="6"/>
                <c:pt idx="0">
                  <c:v>0.28318888544398391</c:v>
                </c:pt>
                <c:pt idx="1">
                  <c:v>0.34518281531893308</c:v>
                </c:pt>
                <c:pt idx="2">
                  <c:v>0.33886465915874558</c:v>
                </c:pt>
                <c:pt idx="3">
                  <c:v>0.33795463230762368</c:v>
                </c:pt>
                <c:pt idx="4">
                  <c:v>0.33633832672034802</c:v>
                </c:pt>
                <c:pt idx="5">
                  <c:v>0.188112888355222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89-4A7F-BF2B-3A303455FD05}"/>
            </c:ext>
          </c:extLst>
        </c:ser>
        <c:ser>
          <c:idx val="3"/>
          <c:order val="3"/>
          <c:tx>
            <c:strRef>
              <c:f>径流结果!$AT$22</c:f>
              <c:strCache>
                <c:ptCount val="1"/>
                <c:pt idx="0">
                  <c:v>5a→10a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径流结果!$AU$18:$AZ$18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径流结果!$AU$22:$AZ$22</c:f>
              <c:numCache>
                <c:formatCode>0.00_ </c:formatCode>
                <c:ptCount val="6"/>
                <c:pt idx="0">
                  <c:v>0.23412301022870113</c:v>
                </c:pt>
                <c:pt idx="1">
                  <c:v>0.321415701913638</c:v>
                </c:pt>
                <c:pt idx="2">
                  <c:v>0.35303212145606949</c:v>
                </c:pt>
                <c:pt idx="3">
                  <c:v>0.35809075250076705</c:v>
                </c:pt>
                <c:pt idx="4">
                  <c:v>0.36048787312995767</c:v>
                </c:pt>
                <c:pt idx="5">
                  <c:v>0.21319708429871095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89-4A7F-BF2B-3A303455FD05}"/>
            </c:ext>
          </c:extLst>
        </c:ser>
        <c:ser>
          <c:idx val="4"/>
          <c:order val="4"/>
          <c:tx>
            <c:strRef>
              <c:f>径流结果!$AT$23</c:f>
              <c:strCache>
                <c:ptCount val="1"/>
                <c:pt idx="0">
                  <c:v>10a→30a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径流结果!$AU$18:$AZ$18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径流结果!$AU$23:$AZ$23</c:f>
              <c:numCache>
                <c:formatCode>0.00_ </c:formatCode>
                <c:ptCount val="6"/>
                <c:pt idx="0">
                  <c:v>0.32085053381742185</c:v>
                </c:pt>
                <c:pt idx="1">
                  <c:v>0.33272679192264276</c:v>
                </c:pt>
                <c:pt idx="2">
                  <c:v>0.34991816921033148</c:v>
                </c:pt>
                <c:pt idx="3">
                  <c:v>0.34732290677041272</c:v>
                </c:pt>
                <c:pt idx="4">
                  <c:v>0.35051477002941389</c:v>
                </c:pt>
                <c:pt idx="5">
                  <c:v>0.29970338896524534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89-4A7F-BF2B-3A303455FD05}"/>
            </c:ext>
          </c:extLst>
        </c:ser>
        <c:ser>
          <c:idx val="5"/>
          <c:order val="5"/>
          <c:tx>
            <c:strRef>
              <c:f>径流结果!$AT$24</c:f>
              <c:strCache>
                <c:ptCount val="1"/>
                <c:pt idx="0">
                  <c:v>30a→50a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径流结果!$AU$18:$AZ$18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径流结果!$AU$24:$AZ$24</c:f>
              <c:numCache>
                <c:formatCode>0.00_ </c:formatCode>
                <c:ptCount val="6"/>
                <c:pt idx="0">
                  <c:v>0.12335638665485373</c:v>
                </c:pt>
                <c:pt idx="1">
                  <c:v>0.12070439091471684</c:v>
                </c:pt>
                <c:pt idx="2">
                  <c:v>0.12079494569565885</c:v>
                </c:pt>
                <c:pt idx="3">
                  <c:v>0.12212835295071343</c:v>
                </c:pt>
                <c:pt idx="4">
                  <c:v>0.12060367657052558</c:v>
                </c:pt>
                <c:pt idx="5">
                  <c:v>0.10269276364048011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89-4A7F-BF2B-3A303455FD05}"/>
            </c:ext>
          </c:extLst>
        </c:ser>
        <c:ser>
          <c:idx val="6"/>
          <c:order val="6"/>
          <c:tx>
            <c:strRef>
              <c:f>径流结果!$AT$25</c:f>
              <c:strCache>
                <c:ptCount val="1"/>
                <c:pt idx="0">
                  <c:v>50a→100a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径流结果!$AU$18:$AZ$18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径流结果!$AU$25:$AZ$25</c:f>
              <c:numCache>
                <c:formatCode>0.00_ </c:formatCode>
                <c:ptCount val="6"/>
                <c:pt idx="0">
                  <c:v>0.14502071837080485</c:v>
                </c:pt>
                <c:pt idx="1">
                  <c:v>0.15274294879470063</c:v>
                </c:pt>
                <c:pt idx="2">
                  <c:v>0.15358302396049786</c:v>
                </c:pt>
                <c:pt idx="3">
                  <c:v>0.15356380748102072</c:v>
                </c:pt>
                <c:pt idx="4">
                  <c:v>0.15251435407311267</c:v>
                </c:pt>
                <c:pt idx="5">
                  <c:v>0.12778343343989815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89-4A7F-BF2B-3A303455F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055200"/>
        <c:axId val="858053760"/>
      </c:lineChart>
      <c:catAx>
        <c:axId val="85805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8053760"/>
        <c:crosses val="autoZero"/>
        <c:auto val="1"/>
        <c:lblAlgn val="ctr"/>
        <c:lblOffset val="100"/>
        <c:noMultiLvlLbl val="0"/>
      </c:catAx>
      <c:valAx>
        <c:axId val="85805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805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地表积水!$C$3</c:f>
              <c:strCache>
                <c:ptCount val="1"/>
                <c:pt idx="0">
                  <c:v>正常干旱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地表积水!$B$4:$B$11</c:f>
              <c:strCache>
                <c:ptCount val="8"/>
                <c:pt idx="0">
                  <c:v>1年一遇</c:v>
                </c:pt>
                <c:pt idx="1">
                  <c:v>2年一遇</c:v>
                </c:pt>
                <c:pt idx="2">
                  <c:v>3年一遇</c:v>
                </c:pt>
                <c:pt idx="3">
                  <c:v>5年一遇</c:v>
                </c:pt>
                <c:pt idx="4">
                  <c:v>10年一遇</c:v>
                </c:pt>
                <c:pt idx="5">
                  <c:v>30年一遇</c:v>
                </c:pt>
                <c:pt idx="6">
                  <c:v>50年一遇</c:v>
                </c:pt>
                <c:pt idx="7">
                  <c:v>100年一遇</c:v>
                </c:pt>
              </c:strCache>
            </c:strRef>
          </c:cat>
          <c:val>
            <c:numRef>
              <c:f>地表积水!$C$4:$C$11</c:f>
              <c:numCache>
                <c:formatCode>0.00_ </c:formatCode>
                <c:ptCount val="8"/>
                <c:pt idx="0">
                  <c:v>14.47560552749972</c:v>
                </c:pt>
                <c:pt idx="1">
                  <c:v>37.019222509999466</c:v>
                </c:pt>
                <c:pt idx="2">
                  <c:v>51.084844232499584</c:v>
                </c:pt>
                <c:pt idx="3">
                  <c:v>69.043436100000008</c:v>
                </c:pt>
                <c:pt idx="4">
                  <c:v>97.464348482000005</c:v>
                </c:pt>
                <c:pt idx="5">
                  <c:v>148.28103121799998</c:v>
                </c:pt>
                <c:pt idx="6">
                  <c:v>173.029197385</c:v>
                </c:pt>
                <c:pt idx="7">
                  <c:v>207.11911528499999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3-44A3-81B1-2FAB15EEE81F}"/>
            </c:ext>
          </c:extLst>
        </c:ser>
        <c:ser>
          <c:idx val="1"/>
          <c:order val="1"/>
          <c:tx>
            <c:strRef>
              <c:f>地表积水!$D$3</c:f>
              <c:strCache>
                <c:ptCount val="1"/>
                <c:pt idx="0">
                  <c:v>轻度干旱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地表积水!$B$4:$B$11</c:f>
              <c:strCache>
                <c:ptCount val="8"/>
                <c:pt idx="0">
                  <c:v>1年一遇</c:v>
                </c:pt>
                <c:pt idx="1">
                  <c:v>2年一遇</c:v>
                </c:pt>
                <c:pt idx="2">
                  <c:v>3年一遇</c:v>
                </c:pt>
                <c:pt idx="3">
                  <c:v>5年一遇</c:v>
                </c:pt>
                <c:pt idx="4">
                  <c:v>10年一遇</c:v>
                </c:pt>
                <c:pt idx="5">
                  <c:v>30年一遇</c:v>
                </c:pt>
                <c:pt idx="6">
                  <c:v>50年一遇</c:v>
                </c:pt>
                <c:pt idx="7">
                  <c:v>100年一遇</c:v>
                </c:pt>
              </c:strCache>
            </c:strRef>
          </c:cat>
          <c:val>
            <c:numRef>
              <c:f>地表积水!$D$4:$D$11</c:f>
              <c:numCache>
                <c:formatCode>0.00_ </c:formatCode>
                <c:ptCount val="8"/>
                <c:pt idx="0">
                  <c:v>8.1865679349997436</c:v>
                </c:pt>
                <c:pt idx="1">
                  <c:v>27.392013157499832</c:v>
                </c:pt>
                <c:pt idx="2">
                  <c:v>39.055018199999687</c:v>
                </c:pt>
                <c:pt idx="3">
                  <c:v>53.95659335999958</c:v>
                </c:pt>
                <c:pt idx="4">
                  <c:v>75.630217235000003</c:v>
                </c:pt>
                <c:pt idx="5">
                  <c:v>116.486103297</c:v>
                </c:pt>
                <c:pt idx="6">
                  <c:v>138.50483764000001</c:v>
                </c:pt>
                <c:pt idx="7">
                  <c:v>169.267337277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53-44A3-81B1-2FAB15EEE81F}"/>
            </c:ext>
          </c:extLst>
        </c:ser>
        <c:ser>
          <c:idx val="2"/>
          <c:order val="2"/>
          <c:tx>
            <c:strRef>
              <c:f>地表积水!$E$3</c:f>
              <c:strCache>
                <c:ptCount val="1"/>
                <c:pt idx="0">
                  <c:v>中度干旱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地表积水!$B$4:$B$11</c:f>
              <c:strCache>
                <c:ptCount val="8"/>
                <c:pt idx="0">
                  <c:v>1年一遇</c:v>
                </c:pt>
                <c:pt idx="1">
                  <c:v>2年一遇</c:v>
                </c:pt>
                <c:pt idx="2">
                  <c:v>3年一遇</c:v>
                </c:pt>
                <c:pt idx="3">
                  <c:v>5年一遇</c:v>
                </c:pt>
                <c:pt idx="4">
                  <c:v>10年一遇</c:v>
                </c:pt>
                <c:pt idx="5">
                  <c:v>30年一遇</c:v>
                </c:pt>
                <c:pt idx="6">
                  <c:v>50年一遇</c:v>
                </c:pt>
                <c:pt idx="7">
                  <c:v>100年一遇</c:v>
                </c:pt>
              </c:strCache>
            </c:strRef>
          </c:cat>
          <c:val>
            <c:numRef>
              <c:f>地表积水!$E$4:$E$11</c:f>
              <c:numCache>
                <c:formatCode>0.00_ </c:formatCode>
                <c:ptCount val="8"/>
                <c:pt idx="0">
                  <c:v>5.7319490899997643</c:v>
                </c:pt>
                <c:pt idx="1">
                  <c:v>23.799736039999829</c:v>
                </c:pt>
                <c:pt idx="2">
                  <c:v>35.094782702499749</c:v>
                </c:pt>
                <c:pt idx="3">
                  <c:v>49.495802347499733</c:v>
                </c:pt>
                <c:pt idx="4">
                  <c:v>69.279476145000004</c:v>
                </c:pt>
                <c:pt idx="5">
                  <c:v>106.153180245</c:v>
                </c:pt>
                <c:pt idx="6">
                  <c:v>125.65487930999998</c:v>
                </c:pt>
                <c:pt idx="7">
                  <c:v>155.07460802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53-44A3-81B1-2FAB15EEE81F}"/>
            </c:ext>
          </c:extLst>
        </c:ser>
        <c:ser>
          <c:idx val="3"/>
          <c:order val="3"/>
          <c:tx>
            <c:strRef>
              <c:f>地表积水!$F$3</c:f>
              <c:strCache>
                <c:ptCount val="1"/>
                <c:pt idx="0">
                  <c:v>严重干旱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地表积水!$B$4:$B$11</c:f>
              <c:strCache>
                <c:ptCount val="8"/>
                <c:pt idx="0">
                  <c:v>1年一遇</c:v>
                </c:pt>
                <c:pt idx="1">
                  <c:v>2年一遇</c:v>
                </c:pt>
                <c:pt idx="2">
                  <c:v>3年一遇</c:v>
                </c:pt>
                <c:pt idx="3">
                  <c:v>5年一遇</c:v>
                </c:pt>
                <c:pt idx="4">
                  <c:v>10年一遇</c:v>
                </c:pt>
                <c:pt idx="5">
                  <c:v>30年一遇</c:v>
                </c:pt>
                <c:pt idx="6">
                  <c:v>50年一遇</c:v>
                </c:pt>
                <c:pt idx="7">
                  <c:v>100年一遇</c:v>
                </c:pt>
              </c:strCache>
            </c:strRef>
          </c:cat>
          <c:val>
            <c:numRef>
              <c:f>地表积水!$F$4:$F$11</c:f>
              <c:numCache>
                <c:formatCode>0.00_ </c:formatCode>
                <c:ptCount val="8"/>
                <c:pt idx="0">
                  <c:v>5.5629542499997395</c:v>
                </c:pt>
                <c:pt idx="1">
                  <c:v>23.50857257749983</c:v>
                </c:pt>
                <c:pt idx="2">
                  <c:v>34.776108924999726</c:v>
                </c:pt>
                <c:pt idx="3">
                  <c:v>49.142637682499817</c:v>
                </c:pt>
                <c:pt idx="4">
                  <c:v>68.870007287000007</c:v>
                </c:pt>
                <c:pt idx="5">
                  <c:v>105.42676770999999</c:v>
                </c:pt>
                <c:pt idx="6">
                  <c:v>124.65582995500002</c:v>
                </c:pt>
                <c:pt idx="7">
                  <c:v>153.960607095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53-44A3-81B1-2FAB15EEE81F}"/>
            </c:ext>
          </c:extLst>
        </c:ser>
        <c:ser>
          <c:idx val="4"/>
          <c:order val="4"/>
          <c:tx>
            <c:strRef>
              <c:f>地表积水!$G$3</c:f>
              <c:strCache>
                <c:ptCount val="1"/>
                <c:pt idx="0">
                  <c:v>特大干旱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地表积水!$B$4:$B$11</c:f>
              <c:strCache>
                <c:ptCount val="8"/>
                <c:pt idx="0">
                  <c:v>1年一遇</c:v>
                </c:pt>
                <c:pt idx="1">
                  <c:v>2年一遇</c:v>
                </c:pt>
                <c:pt idx="2">
                  <c:v>3年一遇</c:v>
                </c:pt>
                <c:pt idx="3">
                  <c:v>5年一遇</c:v>
                </c:pt>
                <c:pt idx="4">
                  <c:v>10年一遇</c:v>
                </c:pt>
                <c:pt idx="5">
                  <c:v>30年一遇</c:v>
                </c:pt>
                <c:pt idx="6">
                  <c:v>50年一遇</c:v>
                </c:pt>
                <c:pt idx="7">
                  <c:v>100年一遇</c:v>
                </c:pt>
              </c:strCache>
            </c:strRef>
          </c:cat>
          <c:val>
            <c:numRef>
              <c:f>地表积水!$G$4:$G$11</c:f>
              <c:numCache>
                <c:formatCode>0.00_ </c:formatCode>
                <c:ptCount val="8"/>
                <c:pt idx="0">
                  <c:v>5.3991282224997335</c:v>
                </c:pt>
                <c:pt idx="1">
                  <c:v>23.21937473749988</c:v>
                </c:pt>
                <c:pt idx="2">
                  <c:v>34.458830797499736</c:v>
                </c:pt>
                <c:pt idx="3">
                  <c:v>48.792402272499707</c:v>
                </c:pt>
                <c:pt idx="4">
                  <c:v>68.463155262000001</c:v>
                </c:pt>
                <c:pt idx="5">
                  <c:v>104.660834073</c:v>
                </c:pt>
                <c:pt idx="6">
                  <c:v>123.76019579199999</c:v>
                </c:pt>
                <c:pt idx="7">
                  <c:v>152.76367589500001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53-44A3-81B1-2FAB15EEE81F}"/>
            </c:ext>
          </c:extLst>
        </c:ser>
        <c:ser>
          <c:idx val="5"/>
          <c:order val="5"/>
          <c:tx>
            <c:strRef>
              <c:f>地表积水!$H$3</c:f>
              <c:strCache>
                <c:ptCount val="1"/>
                <c:pt idx="0">
                  <c:v>极端干旱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地表积水!$B$4:$B$11</c:f>
              <c:strCache>
                <c:ptCount val="8"/>
                <c:pt idx="0">
                  <c:v>1年一遇</c:v>
                </c:pt>
                <c:pt idx="1">
                  <c:v>2年一遇</c:v>
                </c:pt>
                <c:pt idx="2">
                  <c:v>3年一遇</c:v>
                </c:pt>
                <c:pt idx="3">
                  <c:v>5年一遇</c:v>
                </c:pt>
                <c:pt idx="4">
                  <c:v>10年一遇</c:v>
                </c:pt>
                <c:pt idx="5">
                  <c:v>30年一遇</c:v>
                </c:pt>
                <c:pt idx="6">
                  <c:v>50年一遇</c:v>
                </c:pt>
                <c:pt idx="7">
                  <c:v>100年一遇</c:v>
                </c:pt>
              </c:strCache>
            </c:strRef>
          </c:cat>
          <c:val>
            <c:numRef>
              <c:f>地表积水!$H$4:$H$11</c:f>
              <c:numCache>
                <c:formatCode>0.00_ </c:formatCode>
                <c:ptCount val="8"/>
                <c:pt idx="0">
                  <c:v>20.795259569999438</c:v>
                </c:pt>
                <c:pt idx="1">
                  <c:v>49.991723014999721</c:v>
                </c:pt>
                <c:pt idx="2">
                  <c:v>68.920724052499637</c:v>
                </c:pt>
                <c:pt idx="3">
                  <c:v>90.843124179999649</c:v>
                </c:pt>
                <c:pt idx="4">
                  <c:v>121.52771331199999</c:v>
                </c:pt>
                <c:pt idx="5">
                  <c:v>174.579399825</c:v>
                </c:pt>
                <c:pt idx="6">
                  <c:v>199.903874922</c:v>
                </c:pt>
                <c:pt idx="7">
                  <c:v>234.88553497999999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53-44A3-81B1-2FAB15EEE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213648"/>
        <c:axId val="732219408"/>
      </c:barChart>
      <c:catAx>
        <c:axId val="73221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219408"/>
        <c:crosses val="autoZero"/>
        <c:auto val="1"/>
        <c:lblAlgn val="ctr"/>
        <c:lblOffset val="100"/>
        <c:noMultiLvlLbl val="0"/>
      </c:catAx>
      <c:valAx>
        <c:axId val="7322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21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258375</xdr:colOff>
      <xdr:row>42</xdr:row>
      <xdr:rowOff>27214</xdr:rowOff>
    </xdr:from>
    <xdr:to>
      <xdr:col>27</xdr:col>
      <xdr:colOff>544286</xdr:colOff>
      <xdr:row>51</xdr:row>
      <xdr:rowOff>149679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91D1FFDA-D6E4-3DE4-0C4D-BA7177459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114140</xdr:colOff>
      <xdr:row>0</xdr:row>
      <xdr:rowOff>40421</xdr:rowOff>
    </xdr:from>
    <xdr:to>
      <xdr:col>15</xdr:col>
      <xdr:colOff>432547</xdr:colOff>
      <xdr:row>15</xdr:row>
      <xdr:rowOff>22412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6C95E919-A5C5-5FDA-C7BA-4BF16FFB3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655465</xdr:colOff>
      <xdr:row>0</xdr:row>
      <xdr:rowOff>46745</xdr:rowOff>
    </xdr:from>
    <xdr:to>
      <xdr:col>22</xdr:col>
      <xdr:colOff>567018</xdr:colOff>
      <xdr:row>15</xdr:row>
      <xdr:rowOff>59392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0F665B6-3824-43B6-DF63-E4E8BB0A0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483790</xdr:colOff>
      <xdr:row>27</xdr:row>
      <xdr:rowOff>131019</xdr:rowOff>
    </xdr:from>
    <xdr:to>
      <xdr:col>21</xdr:col>
      <xdr:colOff>600076</xdr:colOff>
      <xdr:row>40</xdr:row>
      <xdr:rowOff>19051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D28775E-10E2-C782-A1F4-52AE1C28E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480335</xdr:colOff>
      <xdr:row>42</xdr:row>
      <xdr:rowOff>7513</xdr:rowOff>
    </xdr:from>
    <xdr:to>
      <xdr:col>22</xdr:col>
      <xdr:colOff>81641</xdr:colOff>
      <xdr:row>51</xdr:row>
      <xdr:rowOff>149679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CD2CA41-60C8-367D-EDD3-AFE599D56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281297</xdr:colOff>
      <xdr:row>52</xdr:row>
      <xdr:rowOff>137730</xdr:rowOff>
    </xdr:from>
    <xdr:to>
      <xdr:col>22</xdr:col>
      <xdr:colOff>368234</xdr:colOff>
      <xdr:row>65</xdr:row>
      <xdr:rowOff>163285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463CEECE-96C3-709B-A863-0BF69CD78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53</xdr:col>
      <xdr:colOff>116769</xdr:colOff>
      <xdr:row>28</xdr:row>
      <xdr:rowOff>25900</xdr:rowOff>
    </xdr:from>
    <xdr:to>
      <xdr:col>59</xdr:col>
      <xdr:colOff>580896</xdr:colOff>
      <xdr:row>42</xdr:row>
      <xdr:rowOff>102100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D4BD408B-7887-565A-8304-0A58888D7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67</xdr:col>
      <xdr:colOff>91124</xdr:colOff>
      <xdr:row>12</xdr:row>
      <xdr:rowOff>81165</xdr:rowOff>
    </xdr:from>
    <xdr:to>
      <xdr:col>73</xdr:col>
      <xdr:colOff>563936</xdr:colOff>
      <xdr:row>26</xdr:row>
      <xdr:rowOff>157365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CA306080-FA3E-AF6A-8DD1-984701C88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505790</xdr:colOff>
      <xdr:row>16</xdr:row>
      <xdr:rowOff>26586</xdr:rowOff>
    </xdr:from>
    <xdr:to>
      <xdr:col>21</xdr:col>
      <xdr:colOff>647700</xdr:colOff>
      <xdr:row>26</xdr:row>
      <xdr:rowOff>114300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410F8A90-270D-009B-1865-A3F5B093B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60</xdr:col>
      <xdr:colOff>389292</xdr:colOff>
      <xdr:row>28</xdr:row>
      <xdr:rowOff>116017</xdr:rowOff>
    </xdr:from>
    <xdr:to>
      <xdr:col>67</xdr:col>
      <xdr:colOff>174138</xdr:colOff>
      <xdr:row>43</xdr:row>
      <xdr:rowOff>1717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B8D28F77-C438-FF90-3EC9-41D8F1DFC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262138</xdr:colOff>
      <xdr:row>56</xdr:row>
      <xdr:rowOff>117963</xdr:rowOff>
    </xdr:from>
    <xdr:to>
      <xdr:col>20</xdr:col>
      <xdr:colOff>168980</xdr:colOff>
      <xdr:row>57</xdr:row>
      <xdr:rowOff>96812</xdr:rowOff>
    </xdr:to>
    <xdr:sp macro="" textlink="">
      <xdr:nvSpPr>
        <xdr:cNvPr id="31" name="箭头: 燕尾形 30">
          <a:extLst>
            <a:ext uri="{FF2B5EF4-FFF2-40B4-BE49-F238E27FC236}">
              <a16:creationId xmlns:a16="http://schemas.microsoft.com/office/drawing/2014/main" id="{B8D7DDEB-2D6D-4828-8505-A283CFA87A09}"/>
            </a:ext>
          </a:extLst>
        </xdr:cNvPr>
        <xdr:cNvSpPr/>
      </xdr:nvSpPr>
      <xdr:spPr>
        <a:xfrm rot="20100052">
          <a:off x="13227024" y="10824063"/>
          <a:ext cx="1278442" cy="169349"/>
        </a:xfrm>
        <a:prstGeom prst="notchedRightArrow">
          <a:avLst/>
        </a:prstGeom>
        <a:gradFill flip="none" rotWithShape="1">
          <a:gsLst>
            <a:gs pos="0">
              <a:srgbClr val="00B050">
                <a:tint val="66000"/>
                <a:satMod val="160000"/>
              </a:srgbClr>
            </a:gs>
            <a:gs pos="50000">
              <a:srgbClr val="00B050">
                <a:tint val="44500"/>
                <a:satMod val="160000"/>
              </a:srgbClr>
            </a:gs>
            <a:gs pos="100000">
              <a:srgbClr val="00B050">
                <a:tint val="23500"/>
                <a:satMod val="160000"/>
              </a:srgbClr>
            </a:gs>
          </a:gsLst>
          <a:path path="circle">
            <a:fillToRect l="100000" b="100000"/>
          </a:path>
          <a:tileRect t="-100000" r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308513</xdr:colOff>
      <xdr:row>57</xdr:row>
      <xdr:rowOff>53759</xdr:rowOff>
    </xdr:from>
    <xdr:to>
      <xdr:col>18</xdr:col>
      <xdr:colOff>233152</xdr:colOff>
      <xdr:row>58</xdr:row>
      <xdr:rowOff>7195</xdr:rowOff>
    </xdr:to>
    <xdr:sp macro="" textlink="">
      <xdr:nvSpPr>
        <xdr:cNvPr id="32" name="箭头: 燕尾形 31">
          <a:extLst>
            <a:ext uri="{FF2B5EF4-FFF2-40B4-BE49-F238E27FC236}">
              <a16:creationId xmlns:a16="http://schemas.microsoft.com/office/drawing/2014/main" id="{36AE954F-9F97-4198-BAEE-9875AF3640B4}"/>
            </a:ext>
          </a:extLst>
        </xdr:cNvPr>
        <xdr:cNvSpPr/>
      </xdr:nvSpPr>
      <xdr:spPr>
        <a:xfrm rot="673180">
          <a:off x="12587599" y="10950359"/>
          <a:ext cx="610439" cy="143936"/>
        </a:xfrm>
        <a:prstGeom prst="notchedRightArrow">
          <a:avLst/>
        </a:prstGeom>
        <a:gradFill flip="none" rotWithShape="1">
          <a:gsLst>
            <a:gs pos="0">
              <a:srgbClr val="F14124">
                <a:tint val="66000"/>
                <a:satMod val="160000"/>
              </a:srgbClr>
            </a:gs>
            <a:gs pos="50000">
              <a:srgbClr val="F14124">
                <a:tint val="44500"/>
                <a:satMod val="160000"/>
              </a:srgbClr>
            </a:gs>
            <a:gs pos="100000">
              <a:srgbClr val="F14124">
                <a:tint val="23500"/>
                <a:satMod val="160000"/>
              </a:srgb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158889</xdr:colOff>
      <xdr:row>55</xdr:row>
      <xdr:rowOff>111943</xdr:rowOff>
    </xdr:from>
    <xdr:to>
      <xdr:col>21</xdr:col>
      <xdr:colOff>624464</xdr:colOff>
      <xdr:row>56</xdr:row>
      <xdr:rowOff>83945</xdr:rowOff>
    </xdr:to>
    <xdr:sp macro="" textlink="">
      <xdr:nvSpPr>
        <xdr:cNvPr id="33" name="箭头: 燕尾形 32">
          <a:extLst>
            <a:ext uri="{FF2B5EF4-FFF2-40B4-BE49-F238E27FC236}">
              <a16:creationId xmlns:a16="http://schemas.microsoft.com/office/drawing/2014/main" id="{CEECD88E-3065-4152-B52D-AEF2E9A67103}"/>
            </a:ext>
          </a:extLst>
        </xdr:cNvPr>
        <xdr:cNvSpPr/>
      </xdr:nvSpPr>
      <xdr:spPr>
        <a:xfrm>
          <a:off x="14495375" y="10627543"/>
          <a:ext cx="1151375" cy="162502"/>
        </a:xfrm>
        <a:prstGeom prst="notchedRightArrow">
          <a:avLst/>
        </a:prstGeom>
        <a:gradFill flip="none" rotWithShape="1">
          <a:gsLst>
            <a:gs pos="0">
              <a:schemeClr val="tx1">
                <a:lumMod val="50000"/>
                <a:lumOff val="50000"/>
                <a:tint val="66000"/>
                <a:satMod val="160000"/>
              </a:schemeClr>
            </a:gs>
            <a:gs pos="50000">
              <a:schemeClr val="tx1">
                <a:lumMod val="50000"/>
                <a:lumOff val="50000"/>
                <a:tint val="44500"/>
                <a:satMod val="160000"/>
              </a:schemeClr>
            </a:gs>
            <a:gs pos="100000">
              <a:schemeClr val="tx1">
                <a:lumMod val="50000"/>
                <a:lumOff val="50000"/>
                <a:tint val="23500"/>
                <a:satMod val="160000"/>
              </a:scheme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17</xdr:col>
      <xdr:colOff>293078</xdr:colOff>
      <xdr:row>59</xdr:row>
      <xdr:rowOff>31920</xdr:rowOff>
    </xdr:from>
    <xdr:ext cx="522514" cy="225440"/>
    <xdr:sp macro="" textlink="">
      <xdr:nvSpPr>
        <xdr:cNvPr id="34" name="文本框 33">
          <a:extLst>
            <a:ext uri="{FF2B5EF4-FFF2-40B4-BE49-F238E27FC236}">
              <a16:creationId xmlns:a16="http://schemas.microsoft.com/office/drawing/2014/main" id="{0123BC81-622F-4B32-B9AC-5E927B760F59}"/>
            </a:ext>
          </a:extLst>
        </xdr:cNvPr>
        <xdr:cNvSpPr txBox="1"/>
      </xdr:nvSpPr>
      <xdr:spPr>
        <a:xfrm>
          <a:off x="12594982" y="11308055"/>
          <a:ext cx="522514" cy="225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700" b="1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“增加”</a:t>
          </a:r>
        </a:p>
      </xdr:txBody>
    </xdr:sp>
    <xdr:clientData/>
  </xdr:oneCellAnchor>
  <xdr:oneCellAnchor>
    <xdr:from>
      <xdr:col>18</xdr:col>
      <xdr:colOff>608136</xdr:colOff>
      <xdr:row>57</xdr:row>
      <xdr:rowOff>141198</xdr:rowOff>
    </xdr:from>
    <xdr:ext cx="520210" cy="209032"/>
    <xdr:sp macro="" textlink="">
      <xdr:nvSpPr>
        <xdr:cNvPr id="35" name="文本框 34">
          <a:extLst>
            <a:ext uri="{FF2B5EF4-FFF2-40B4-BE49-F238E27FC236}">
              <a16:creationId xmlns:a16="http://schemas.microsoft.com/office/drawing/2014/main" id="{CDE2B693-B288-4FF1-B012-077948F85587}"/>
            </a:ext>
          </a:extLst>
        </xdr:cNvPr>
        <xdr:cNvSpPr txBox="1"/>
      </xdr:nvSpPr>
      <xdr:spPr>
        <a:xfrm flipH="1">
          <a:off x="13598771" y="11036333"/>
          <a:ext cx="520210" cy="2090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700" b="1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“减少”</a:t>
          </a:r>
        </a:p>
      </xdr:txBody>
    </xdr:sp>
    <xdr:clientData/>
  </xdr:oneCellAnchor>
  <xdr:oneCellAnchor>
    <xdr:from>
      <xdr:col>20</xdr:col>
      <xdr:colOff>416125</xdr:colOff>
      <xdr:row>56</xdr:row>
      <xdr:rowOff>43961</xdr:rowOff>
    </xdr:from>
    <xdr:ext cx="545021" cy="209032"/>
    <xdr:sp macro="" textlink="">
      <xdr:nvSpPr>
        <xdr:cNvPr id="36" name="文本框 35">
          <a:extLst>
            <a:ext uri="{FF2B5EF4-FFF2-40B4-BE49-F238E27FC236}">
              <a16:creationId xmlns:a16="http://schemas.microsoft.com/office/drawing/2014/main" id="{A69E8C38-F752-4FED-9C72-2739C5FDF8C6}"/>
            </a:ext>
          </a:extLst>
        </xdr:cNvPr>
        <xdr:cNvSpPr txBox="1"/>
      </xdr:nvSpPr>
      <xdr:spPr>
        <a:xfrm>
          <a:off x="14784221" y="10748596"/>
          <a:ext cx="545021" cy="2090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700" b="1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“平缓”</a:t>
          </a:r>
        </a:p>
      </xdr:txBody>
    </xdr:sp>
    <xdr:clientData/>
  </xdr:oneCellAnchor>
  <xdr:twoCellAnchor>
    <xdr:from>
      <xdr:col>60</xdr:col>
      <xdr:colOff>156882</xdr:colOff>
      <xdr:row>12</xdr:row>
      <xdr:rowOff>68355</xdr:rowOff>
    </xdr:from>
    <xdr:to>
      <xdr:col>66</xdr:col>
      <xdr:colOff>627529</xdr:colOff>
      <xdr:row>26</xdr:row>
      <xdr:rowOff>144555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59B83729-567E-14C4-8DD3-7271FE0F0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470647</xdr:colOff>
      <xdr:row>52</xdr:row>
      <xdr:rowOff>156881</xdr:rowOff>
    </xdr:from>
    <xdr:to>
      <xdr:col>28</xdr:col>
      <xdr:colOff>431426</xdr:colOff>
      <xdr:row>65</xdr:row>
      <xdr:rowOff>99730</xdr:rowOff>
    </xdr:to>
    <xdr:graphicFrame macro="">
      <xdr:nvGraphicFramePr>
        <xdr:cNvPr id="38" name="图表 37">
          <a:extLst>
            <a:ext uri="{FF2B5EF4-FFF2-40B4-BE49-F238E27FC236}">
              <a16:creationId xmlns:a16="http://schemas.microsoft.com/office/drawing/2014/main" id="{4455057F-D318-27D3-1486-9130B1DFF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53</xdr:col>
      <xdr:colOff>129148</xdr:colOff>
      <xdr:row>0</xdr:row>
      <xdr:rowOff>0</xdr:rowOff>
    </xdr:from>
    <xdr:to>
      <xdr:col>59</xdr:col>
      <xdr:colOff>595313</xdr:colOff>
      <xdr:row>11</xdr:row>
      <xdr:rowOff>145676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A5DD0DB5-D8F6-8AF0-8850-39C0360E9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95249</xdr:colOff>
      <xdr:row>13</xdr:row>
      <xdr:rowOff>16328</xdr:rowOff>
    </xdr:from>
    <xdr:to>
      <xdr:col>59</xdr:col>
      <xdr:colOff>585107</xdr:colOff>
      <xdr:row>27</xdr:row>
      <xdr:rowOff>92528</xdr:rowOff>
    </xdr:to>
    <xdr:graphicFrame macro="">
      <xdr:nvGraphicFramePr>
        <xdr:cNvPr id="40" name="图表 39">
          <a:extLst>
            <a:ext uri="{FF2B5EF4-FFF2-40B4-BE49-F238E27FC236}">
              <a16:creationId xmlns:a16="http://schemas.microsoft.com/office/drawing/2014/main" id="{40120BA7-7B96-62A8-B6CC-83509E9BC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581375</xdr:colOff>
      <xdr:row>67</xdr:row>
      <xdr:rowOff>0</xdr:rowOff>
    </xdr:from>
    <xdr:to>
      <xdr:col>4</xdr:col>
      <xdr:colOff>361568</xdr:colOff>
      <xdr:row>67</xdr:row>
      <xdr:rowOff>139211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E4C5EB3A-2FA5-D06D-B046-9C9D9E7E34A2}"/>
            </a:ext>
          </a:extLst>
        </xdr:cNvPr>
        <xdr:cNvCxnSpPr/>
      </xdr:nvCxnSpPr>
      <xdr:spPr>
        <a:xfrm>
          <a:off x="2643745" y="9023583"/>
          <a:ext cx="707845" cy="160237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361568</xdr:colOff>
      <xdr:row>67</xdr:row>
      <xdr:rowOff>0</xdr:rowOff>
    </xdr:from>
    <xdr:to>
      <xdr:col>4</xdr:col>
      <xdr:colOff>471472</xdr:colOff>
      <xdr:row>67</xdr:row>
      <xdr:rowOff>87922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E8D276BD-943B-34D2-5074-7CF67FDEA8EB}"/>
            </a:ext>
          </a:extLst>
        </xdr:cNvPr>
        <xdr:cNvCxnSpPr/>
      </xdr:nvCxnSpPr>
      <xdr:spPr>
        <a:xfrm flipV="1">
          <a:off x="3351590" y="8921006"/>
          <a:ext cx="109904" cy="2115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198910</xdr:colOff>
      <xdr:row>65</xdr:row>
      <xdr:rowOff>174380</xdr:rowOff>
    </xdr:from>
    <xdr:to>
      <xdr:col>6</xdr:col>
      <xdr:colOff>2548</xdr:colOff>
      <xdr:row>67</xdr:row>
      <xdr:rowOff>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7CA46630-16D4-437F-8E99-844CCB4F48E5}"/>
            </a:ext>
          </a:extLst>
        </xdr:cNvPr>
        <xdr:cNvCxnSpPr/>
      </xdr:nvCxnSpPr>
      <xdr:spPr>
        <a:xfrm>
          <a:off x="3876388" y="8672337"/>
          <a:ext cx="491095" cy="285304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682678</xdr:colOff>
      <xdr:row>65</xdr:row>
      <xdr:rowOff>71803</xdr:rowOff>
    </xdr:from>
    <xdr:to>
      <xdr:col>6</xdr:col>
      <xdr:colOff>89006</xdr:colOff>
      <xdr:row>67</xdr:row>
      <xdr:rowOff>0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55596554-E3FD-427F-B43D-6FFC3DE0693D}"/>
            </a:ext>
          </a:extLst>
        </xdr:cNvPr>
        <xdr:cNvCxnSpPr/>
      </xdr:nvCxnSpPr>
      <xdr:spPr>
        <a:xfrm flipV="1">
          <a:off x="4360156" y="8569760"/>
          <a:ext cx="93785" cy="29995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468541</xdr:colOff>
      <xdr:row>65</xdr:row>
      <xdr:rowOff>33703</xdr:rowOff>
    </xdr:from>
    <xdr:to>
      <xdr:col>7</xdr:col>
      <xdr:colOff>272179</xdr:colOff>
      <xdr:row>66</xdr:row>
      <xdr:rowOff>137746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8FD56882-163F-416A-9ADC-0967D3AF4F92}"/>
            </a:ext>
          </a:extLst>
        </xdr:cNvPr>
        <xdr:cNvCxnSpPr/>
      </xdr:nvCxnSpPr>
      <xdr:spPr>
        <a:xfrm>
          <a:off x="4833476" y="8531660"/>
          <a:ext cx="491094" cy="2862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264852</xdr:colOff>
      <xdr:row>64</xdr:row>
      <xdr:rowOff>114300</xdr:rowOff>
    </xdr:from>
    <xdr:to>
      <xdr:col>7</xdr:col>
      <xdr:colOff>358637</xdr:colOff>
      <xdr:row>66</xdr:row>
      <xdr:rowOff>49823</xdr:rowOff>
    </xdr:to>
    <xdr:cxnSp macro="">
      <xdr:nvCxnSpPr>
        <xdr:cNvPr id="16" name="直接箭头连接符 15">
          <a:extLst>
            <a:ext uri="{FF2B5EF4-FFF2-40B4-BE49-F238E27FC236}">
              <a16:creationId xmlns:a16="http://schemas.microsoft.com/office/drawing/2014/main" id="{DBE7B07F-0809-43F9-950A-6B2E6DB468BB}"/>
            </a:ext>
          </a:extLst>
        </xdr:cNvPr>
        <xdr:cNvCxnSpPr/>
      </xdr:nvCxnSpPr>
      <xdr:spPr>
        <a:xfrm flipV="1">
          <a:off x="5317243" y="8430039"/>
          <a:ext cx="93785" cy="29995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49442</xdr:colOff>
      <xdr:row>63</xdr:row>
      <xdr:rowOff>156795</xdr:rowOff>
    </xdr:from>
    <xdr:to>
      <xdr:col>8</xdr:col>
      <xdr:colOff>541811</xdr:colOff>
      <xdr:row>65</xdr:row>
      <xdr:rowOff>77664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80A4151A-EEEF-423F-8D32-FAF2287BEF62}"/>
            </a:ext>
          </a:extLst>
        </xdr:cNvPr>
        <xdr:cNvCxnSpPr/>
      </xdr:nvCxnSpPr>
      <xdr:spPr>
        <a:xfrm>
          <a:off x="5789290" y="8290317"/>
          <a:ext cx="492369" cy="285304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534484</xdr:colOff>
      <xdr:row>63</xdr:row>
      <xdr:rowOff>54218</xdr:rowOff>
    </xdr:from>
    <xdr:to>
      <xdr:col>8</xdr:col>
      <xdr:colOff>628269</xdr:colOff>
      <xdr:row>64</xdr:row>
      <xdr:rowOff>172915</xdr:rowOff>
    </xdr:to>
    <xdr:cxnSp macro="">
      <xdr:nvCxnSpPr>
        <xdr:cNvPr id="18" name="直接箭头连接符 17">
          <a:extLst>
            <a:ext uri="{FF2B5EF4-FFF2-40B4-BE49-F238E27FC236}">
              <a16:creationId xmlns:a16="http://schemas.microsoft.com/office/drawing/2014/main" id="{42A51027-5330-44C4-8E93-F20C1A20079A}"/>
            </a:ext>
          </a:extLst>
        </xdr:cNvPr>
        <xdr:cNvCxnSpPr/>
      </xdr:nvCxnSpPr>
      <xdr:spPr>
        <a:xfrm flipV="1">
          <a:off x="6274332" y="8187740"/>
          <a:ext cx="93785" cy="30091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28013</xdr:colOff>
      <xdr:row>0</xdr:row>
      <xdr:rowOff>190500</xdr:rowOff>
    </xdr:from>
    <xdr:to>
      <xdr:col>16</xdr:col>
      <xdr:colOff>302559</xdr:colOff>
      <xdr:row>12</xdr:row>
      <xdr:rowOff>145676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B767655-F62F-FC3A-C130-C0EAF6C96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A126"/>
  <sheetViews>
    <sheetView topLeftCell="G16" zoomScale="70" zoomScaleNormal="70" workbookViewId="0">
      <selection activeCell="G16" sqref="G16"/>
    </sheetView>
  </sheetViews>
  <sheetFormatPr defaultColWidth="9" defaultRowHeight="15" x14ac:dyDescent="0.25"/>
  <cols>
    <col min="1" max="4" width="9" style="10"/>
    <col min="5" max="5" width="9.125" style="10" customWidth="1"/>
    <col min="6" max="8" width="9" style="10"/>
    <col min="9" max="12" width="9" style="10" customWidth="1"/>
    <col min="13" max="16" width="11" style="10" bestFit="1" customWidth="1"/>
    <col min="17" max="16384" width="9" style="10"/>
  </cols>
  <sheetData>
    <row r="1" spans="2:37" ht="18" x14ac:dyDescent="0.25">
      <c r="B1" s="9" t="s">
        <v>12</v>
      </c>
    </row>
    <row r="3" spans="2:37" x14ac:dyDescent="0.25">
      <c r="B3" s="1" t="s">
        <v>13</v>
      </c>
      <c r="C3" s="7" t="s">
        <v>70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2:37" x14ac:dyDescent="0.25">
      <c r="B4" s="1" t="s">
        <v>38</v>
      </c>
      <c r="C4" s="2">
        <v>30.941108600000049</v>
      </c>
      <c r="D4" s="2">
        <v>20.940509797500034</v>
      </c>
      <c r="E4" s="2">
        <v>19.34589958500003</v>
      </c>
      <c r="F4" s="2">
        <v>19.25795178250004</v>
      </c>
      <c r="G4" s="2">
        <v>19.146000942500034</v>
      </c>
      <c r="H4" s="2">
        <v>50.464949684999823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2:37" x14ac:dyDescent="0.25">
      <c r="B5" s="1" t="s">
        <v>39</v>
      </c>
      <c r="C5" s="2">
        <v>65.660352269999834</v>
      </c>
      <c r="D5" s="2">
        <v>43.534931470000039</v>
      </c>
      <c r="E5" s="2">
        <v>37.791786357500015</v>
      </c>
      <c r="F5" s="2">
        <v>37.421256879999973</v>
      </c>
      <c r="G5" s="2">
        <v>37.036293207499973</v>
      </c>
      <c r="H5" s="2">
        <v>94.152716249999742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2:37" x14ac:dyDescent="0.25">
      <c r="B6" s="1" t="s">
        <v>40</v>
      </c>
      <c r="C6" s="2">
        <v>86.445416507500084</v>
      </c>
      <c r="D6" s="2">
        <v>58.437764199999961</v>
      </c>
      <c r="E6" s="2">
        <v>50.565586442500042</v>
      </c>
      <c r="F6" s="2">
        <v>49.997544979999944</v>
      </c>
      <c r="G6" s="2">
        <v>49.451825687499934</v>
      </c>
      <c r="H6" s="2">
        <v>116.6149539874997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2:37" x14ac:dyDescent="0.25">
      <c r="B7" s="1" t="s">
        <v>41</v>
      </c>
      <c r="C7" s="2">
        <v>110.92579766</v>
      </c>
      <c r="D7" s="2">
        <v>78.609476167499906</v>
      </c>
      <c r="E7" s="2">
        <v>67.700476657499905</v>
      </c>
      <c r="F7" s="2">
        <v>66.894446909999701</v>
      </c>
      <c r="G7" s="2">
        <v>66.084369992499987</v>
      </c>
      <c r="H7" s="2">
        <v>138.55172980749958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2:37" x14ac:dyDescent="0.25">
      <c r="B8" s="1" t="s">
        <v>42</v>
      </c>
      <c r="C8" s="2">
        <v>136.89607932017901</v>
      </c>
      <c r="D8" s="2">
        <v>103.87579612694029</v>
      </c>
      <c r="E8" s="2">
        <v>91.600919555484211</v>
      </c>
      <c r="F8" s="2">
        <v>90.848729742124107</v>
      </c>
      <c r="G8" s="2">
        <v>89.906983978229505</v>
      </c>
      <c r="H8" s="2">
        <v>168.0905546270013</v>
      </c>
      <c r="Z8" s="1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2:37" x14ac:dyDescent="0.25">
      <c r="B9" s="1" t="s">
        <v>43</v>
      </c>
      <c r="C9" s="2">
        <v>180.81925944757057</v>
      </c>
      <c r="D9" s="2">
        <v>138.43805653066761</v>
      </c>
      <c r="E9" s="2">
        <v>123.6537456243221</v>
      </c>
      <c r="F9" s="2">
        <v>122.4025746325583</v>
      </c>
      <c r="G9" s="2">
        <v>121.42070979139682</v>
      </c>
      <c r="H9" s="2">
        <v>218.46786350176129</v>
      </c>
      <c r="Z9" s="1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2:37" x14ac:dyDescent="0.25">
      <c r="B10" s="1" t="s">
        <v>44</v>
      </c>
      <c r="C10" s="2">
        <v>203.1244699306294</v>
      </c>
      <c r="D10" s="2">
        <v>155.14813782361898</v>
      </c>
      <c r="E10" s="2">
        <v>138.5904931120769</v>
      </c>
      <c r="F10" s="2">
        <v>137.35139946935942</v>
      </c>
      <c r="G10" s="2">
        <v>136.06449380404209</v>
      </c>
      <c r="H10" s="2">
        <v>240.90293217138833</v>
      </c>
      <c r="Z10" s="1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2:37" x14ac:dyDescent="0.25">
      <c r="B11" s="1" t="s">
        <v>45</v>
      </c>
      <c r="C11" s="2">
        <v>232.58172647865823</v>
      </c>
      <c r="D11" s="2">
        <v>178.84592189480517</v>
      </c>
      <c r="E11" s="2">
        <v>159.87564013640622</v>
      </c>
      <c r="F11" s="2">
        <v>158.4436033347209</v>
      </c>
      <c r="G11" s="2">
        <v>156.81628218885061</v>
      </c>
      <c r="H11" s="2">
        <v>271.68633596998723</v>
      </c>
      <c r="Z11" s="1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2:37" x14ac:dyDescent="0.25">
      <c r="C12" s="11"/>
      <c r="D12" s="11"/>
      <c r="E12" s="11"/>
      <c r="F12" s="11"/>
      <c r="G12" s="11"/>
      <c r="H12" s="11"/>
    </row>
    <row r="13" spans="2:37" x14ac:dyDescent="0.25">
      <c r="C13" s="11"/>
      <c r="D13" s="12"/>
      <c r="E13" s="11"/>
      <c r="F13" s="11"/>
      <c r="G13" s="11"/>
      <c r="H13" s="1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2:37" x14ac:dyDescent="0.25">
      <c r="C14" s="11"/>
      <c r="D14" s="12"/>
      <c r="E14" s="11"/>
      <c r="F14" s="11"/>
      <c r="G14" s="11"/>
      <c r="H14" s="1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2:37" x14ac:dyDescent="0.25">
      <c r="C15" s="11"/>
      <c r="D15" s="12"/>
      <c r="E15" s="11"/>
      <c r="F15" s="11"/>
      <c r="G15" s="11"/>
      <c r="H15" s="1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2:37" x14ac:dyDescent="0.25">
      <c r="C16" s="11"/>
      <c r="D16" s="11"/>
      <c r="E16" s="11"/>
      <c r="F16" s="11"/>
      <c r="G16" s="11"/>
      <c r="H16" s="11"/>
      <c r="M16" s="1"/>
      <c r="N16" s="1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53" x14ac:dyDescent="0.25">
      <c r="C17" s="11"/>
      <c r="D17" s="11"/>
      <c r="E17" s="11"/>
      <c r="F17" s="11"/>
      <c r="G17" s="11"/>
      <c r="H17" s="11"/>
      <c r="Q17" s="2"/>
      <c r="R17" s="2"/>
      <c r="S17" s="3"/>
      <c r="T17" s="3"/>
      <c r="U17" s="2"/>
      <c r="V17" s="2"/>
      <c r="W17" s="2"/>
      <c r="X17" s="3"/>
      <c r="Y17" s="2"/>
      <c r="AF17" s="15" t="s">
        <v>26</v>
      </c>
      <c r="AG17" s="16"/>
      <c r="AH17" s="16"/>
      <c r="AI17" s="17"/>
      <c r="AJ17" s="17"/>
      <c r="AK17" s="17"/>
      <c r="AL17" s="17"/>
      <c r="AM17" s="17"/>
      <c r="AN17" s="17"/>
      <c r="AO17" s="17"/>
      <c r="AP17" s="17"/>
      <c r="AQ17" s="2"/>
      <c r="AR17" s="2"/>
      <c r="AT17" s="15" t="s">
        <v>26</v>
      </c>
      <c r="AU17" s="16"/>
      <c r="AV17" s="16"/>
      <c r="AW17" s="17"/>
      <c r="AX17" s="17"/>
      <c r="AY17" s="17"/>
      <c r="AZ17" s="17"/>
    </row>
    <row r="18" spans="2:53" x14ac:dyDescent="0.25">
      <c r="B18" s="13" t="s">
        <v>24</v>
      </c>
      <c r="C18" s="14"/>
      <c r="D18" s="14"/>
      <c r="E18" s="14"/>
      <c r="F18" s="14"/>
      <c r="G18" s="11"/>
      <c r="H18" s="11"/>
      <c r="K18" s="13" t="s">
        <v>24</v>
      </c>
      <c r="L18" s="14"/>
      <c r="M18" s="14"/>
      <c r="N18" s="14"/>
      <c r="O18" s="14"/>
      <c r="P18" s="2"/>
      <c r="AG18" s="1"/>
      <c r="AH18" s="1"/>
      <c r="AI18" s="2"/>
      <c r="AJ18" s="2"/>
      <c r="AK18" s="2"/>
      <c r="AL18" s="2"/>
      <c r="AM18" s="2"/>
      <c r="AN18" s="2"/>
      <c r="AO18" s="2"/>
      <c r="AP18" s="2"/>
      <c r="AQ18" s="2"/>
      <c r="AR18" s="2"/>
      <c r="AU18" s="25" t="s">
        <v>70</v>
      </c>
      <c r="AV18" s="1" t="s">
        <v>15</v>
      </c>
      <c r="AW18" s="1" t="s">
        <v>16</v>
      </c>
      <c r="AX18" s="1" t="s">
        <v>17</v>
      </c>
      <c r="AY18" s="1" t="s">
        <v>18</v>
      </c>
      <c r="AZ18" s="1" t="s">
        <v>19</v>
      </c>
    </row>
    <row r="19" spans="2:53" x14ac:dyDescent="0.25">
      <c r="C19" s="11"/>
      <c r="D19" s="20"/>
      <c r="E19" s="20"/>
      <c r="F19" s="20"/>
      <c r="G19" s="20"/>
      <c r="H19" s="20"/>
      <c r="L19" s="20" t="s">
        <v>59</v>
      </c>
      <c r="M19" s="20" t="s">
        <v>60</v>
      </c>
      <c r="N19" s="20" t="s">
        <v>61</v>
      </c>
      <c r="O19" s="20" t="s">
        <v>62</v>
      </c>
      <c r="P19" s="20"/>
      <c r="AF19" s="1" t="s">
        <v>13</v>
      </c>
      <c r="AG19" s="25" t="s">
        <v>70</v>
      </c>
      <c r="AH19" s="1"/>
      <c r="AI19" s="1" t="s">
        <v>15</v>
      </c>
      <c r="AJ19" s="1"/>
      <c r="AK19" s="1" t="s">
        <v>16</v>
      </c>
      <c r="AL19" s="1"/>
      <c r="AM19" s="1" t="s">
        <v>17</v>
      </c>
      <c r="AN19" s="1"/>
      <c r="AO19" s="1" t="s">
        <v>18</v>
      </c>
      <c r="AP19" s="1"/>
      <c r="AQ19" s="1" t="s">
        <v>19</v>
      </c>
      <c r="AR19" s="2"/>
      <c r="AT19" s="1" t="s">
        <v>46</v>
      </c>
      <c r="AU19" s="18">
        <v>1.1221072948239394</v>
      </c>
      <c r="AV19" s="18">
        <v>1.0789814522661441</v>
      </c>
      <c r="AW19" s="18">
        <v>0.95347785154442366</v>
      </c>
      <c r="AX19" s="18">
        <v>0.94315871711783872</v>
      </c>
      <c r="AY19" s="18">
        <v>0.93441404911285209</v>
      </c>
      <c r="AZ19" s="18">
        <v>0.86570514461417658</v>
      </c>
    </row>
    <row r="20" spans="2:53" x14ac:dyDescent="0.25">
      <c r="B20" s="1" t="s">
        <v>13</v>
      </c>
      <c r="C20" s="1" t="s">
        <v>25</v>
      </c>
      <c r="D20" s="20" t="s">
        <v>59</v>
      </c>
      <c r="E20" s="20" t="s">
        <v>60</v>
      </c>
      <c r="F20" s="20" t="s">
        <v>61</v>
      </c>
      <c r="G20" s="20" t="s">
        <v>62</v>
      </c>
      <c r="H20" s="20" t="s">
        <v>63</v>
      </c>
      <c r="K20" s="1" t="s">
        <v>38</v>
      </c>
      <c r="L20" s="23">
        <v>-0.32321397826385573</v>
      </c>
      <c r="M20" s="23">
        <v>-7.6149541148724839E-2</v>
      </c>
      <c r="N20" s="23">
        <v>-4.5460694197017697E-3</v>
      </c>
      <c r="O20" s="23">
        <v>-5.813226726517043E-3</v>
      </c>
      <c r="P20" s="8"/>
      <c r="AF20" s="1" t="s">
        <v>33</v>
      </c>
      <c r="AG20" s="2">
        <v>30.941108600000049</v>
      </c>
      <c r="AH20" s="18"/>
      <c r="AI20" s="2">
        <v>20.940509797500034</v>
      </c>
      <c r="AJ20" s="1"/>
      <c r="AK20" s="2">
        <v>19.34589958500003</v>
      </c>
      <c r="AL20" s="1"/>
      <c r="AM20" s="2">
        <v>19.25795178250004</v>
      </c>
      <c r="AN20" s="1"/>
      <c r="AO20" s="2">
        <v>19.146000942500034</v>
      </c>
      <c r="AP20" s="1"/>
      <c r="AQ20" s="2">
        <v>50.464949684999823</v>
      </c>
      <c r="AR20" s="2"/>
      <c r="AT20" s="1" t="s">
        <v>47</v>
      </c>
      <c r="AU20" s="18">
        <v>0.31655426020303168</v>
      </c>
      <c r="AV20" s="18">
        <v>0.34231896609896989</v>
      </c>
      <c r="AW20" s="18">
        <v>0.33800466493336284</v>
      </c>
      <c r="AX20" s="18">
        <v>0.33607337509610608</v>
      </c>
      <c r="AY20" s="18">
        <v>0.33522610943920744</v>
      </c>
      <c r="AZ20" s="18">
        <v>0.2385723814686018</v>
      </c>
    </row>
    <row r="21" spans="2:53" x14ac:dyDescent="0.25">
      <c r="B21" s="1" t="s">
        <v>33</v>
      </c>
      <c r="C21" s="2">
        <v>30.941108600000049</v>
      </c>
      <c r="D21" s="2">
        <v>20.940509797500034</v>
      </c>
      <c r="E21" s="2">
        <v>19.34589958500003</v>
      </c>
      <c r="F21" s="2">
        <v>19.25795178250004</v>
      </c>
      <c r="G21" s="2">
        <v>19.146000942500034</v>
      </c>
      <c r="H21" s="2">
        <v>50.464949684999823</v>
      </c>
      <c r="K21" s="1" t="s">
        <v>39</v>
      </c>
      <c r="L21" s="23">
        <v>-0.33696774438581384</v>
      </c>
      <c r="M21" s="23">
        <v>-0.13192038941091777</v>
      </c>
      <c r="N21" s="23">
        <v>-9.8044975697876378E-3</v>
      </c>
      <c r="O21" s="23">
        <v>-1.0287299374643557E-2</v>
      </c>
      <c r="P21" s="8"/>
      <c r="AF21" s="1" t="s">
        <v>34</v>
      </c>
      <c r="AG21" s="2">
        <v>65.660352269999834</v>
      </c>
      <c r="AH21" s="18">
        <f t="shared" ref="AH21:AH24" si="0">(AG21-AG20)/AG20</f>
        <v>1.1221072948239394</v>
      </c>
      <c r="AI21" s="2">
        <v>43.534931470000039</v>
      </c>
      <c r="AJ21" s="18">
        <f t="shared" ref="AJ21:AJ24" si="1">(AI21-AI20)/AI20</f>
        <v>1.0789814522661441</v>
      </c>
      <c r="AK21" s="2">
        <v>37.791786357500015</v>
      </c>
      <c r="AL21" s="18">
        <f t="shared" ref="AL21:AL24" si="2">(AK21-AK20)/AK20</f>
        <v>0.95347785154442366</v>
      </c>
      <c r="AM21" s="2">
        <v>37.421256879999973</v>
      </c>
      <c r="AN21" s="18">
        <f t="shared" ref="AN21:AN24" si="3">(AM21-AM20)/AM20</f>
        <v>0.94315871711783872</v>
      </c>
      <c r="AO21" s="2">
        <v>37.036293207499973</v>
      </c>
      <c r="AP21" s="18">
        <f t="shared" ref="AP21:AP24" si="4">(AO21-AO20)/AO20</f>
        <v>0.93441404911285209</v>
      </c>
      <c r="AQ21" s="2">
        <v>94.152716249999742</v>
      </c>
      <c r="AR21" s="18">
        <f t="shared" ref="AR21:AR24" si="5">(AQ21-AQ20)/AQ20</f>
        <v>0.86570514461417658</v>
      </c>
      <c r="AT21" s="1" t="s">
        <v>48</v>
      </c>
      <c r="AU21" s="18">
        <v>0.28318888544398391</v>
      </c>
      <c r="AV21" s="18">
        <v>0.34518281531893308</v>
      </c>
      <c r="AW21" s="18">
        <v>0.33886465915874558</v>
      </c>
      <c r="AX21" s="18">
        <v>0.33795463230762368</v>
      </c>
      <c r="AY21" s="18">
        <v>0.33633832672034802</v>
      </c>
      <c r="AZ21" s="18">
        <v>0.188112888355222</v>
      </c>
    </row>
    <row r="22" spans="2:53" x14ac:dyDescent="0.25">
      <c r="B22" s="1"/>
      <c r="C22" s="1"/>
      <c r="D22" s="8">
        <f>(D21-C21)/C21</f>
        <v>-0.32321397826385573</v>
      </c>
      <c r="E22" s="8">
        <f>(E21-D21)/D21</f>
        <v>-7.6149541148724839E-2</v>
      </c>
      <c r="F22" s="8">
        <f t="shared" ref="F22" si="6">(F21-E21)/E21</f>
        <v>-4.5460694197017697E-3</v>
      </c>
      <c r="G22" s="8">
        <f t="shared" ref="G22" si="7">(G21-F21)/F21</f>
        <v>-5.813226726517043E-3</v>
      </c>
      <c r="H22" s="8">
        <f t="shared" ref="H22" si="8">(H21-G21)/G21</f>
        <v>1.6357958425134311</v>
      </c>
      <c r="K22" s="1" t="s">
        <v>40</v>
      </c>
      <c r="L22" s="23">
        <v>-0.32399233457415472</v>
      </c>
      <c r="M22" s="23">
        <v>-0.13471045419461691</v>
      </c>
      <c r="N22" s="23">
        <v>-1.1233756047624175E-2</v>
      </c>
      <c r="O22" s="23">
        <v>-1.0914921777025435E-2</v>
      </c>
      <c r="P22" s="8"/>
      <c r="AF22" s="1" t="s">
        <v>35</v>
      </c>
      <c r="AG22" s="2">
        <v>86.445416507500084</v>
      </c>
      <c r="AH22" s="18">
        <f t="shared" si="0"/>
        <v>0.31655426020303168</v>
      </c>
      <c r="AI22" s="2">
        <v>58.437764199999961</v>
      </c>
      <c r="AJ22" s="18">
        <f>(AI22-AI21)/AI21</f>
        <v>0.34231896609896989</v>
      </c>
      <c r="AK22" s="2">
        <v>50.565586442500042</v>
      </c>
      <c r="AL22" s="18">
        <f t="shared" si="2"/>
        <v>0.33800466493336284</v>
      </c>
      <c r="AM22" s="2">
        <v>49.997544979999944</v>
      </c>
      <c r="AN22" s="18">
        <f t="shared" si="3"/>
        <v>0.33607337509610608</v>
      </c>
      <c r="AO22" s="2">
        <v>49.451825687499934</v>
      </c>
      <c r="AP22" s="18">
        <f t="shared" si="4"/>
        <v>0.33522610943920744</v>
      </c>
      <c r="AQ22" s="2">
        <v>116.6149539874997</v>
      </c>
      <c r="AR22" s="18">
        <f t="shared" si="5"/>
        <v>0.2385723814686018</v>
      </c>
      <c r="AT22" s="1" t="s">
        <v>49</v>
      </c>
      <c r="AU22" s="18">
        <v>0.23412301022870113</v>
      </c>
      <c r="AV22" s="18">
        <v>0.321415701913638</v>
      </c>
      <c r="AW22" s="18">
        <v>0.35303212145606949</v>
      </c>
      <c r="AX22" s="18">
        <v>0.35809075250076705</v>
      </c>
      <c r="AY22" s="18">
        <v>0.36048787312995767</v>
      </c>
      <c r="AZ22" s="18">
        <v>0.21319708429871095</v>
      </c>
    </row>
    <row r="23" spans="2:53" x14ac:dyDescent="0.25">
      <c r="B23" s="1" t="s">
        <v>34</v>
      </c>
      <c r="C23" s="2">
        <v>65.660352269999834</v>
      </c>
      <c r="D23" s="2">
        <v>43.534931470000039</v>
      </c>
      <c r="E23" s="2">
        <v>37.791786357500015</v>
      </c>
      <c r="F23" s="2">
        <v>37.421256879999973</v>
      </c>
      <c r="G23" s="2">
        <v>37.036293207499973</v>
      </c>
      <c r="H23" s="2">
        <v>94.152716249999742</v>
      </c>
      <c r="K23" s="1" t="s">
        <v>41</v>
      </c>
      <c r="L23" s="23">
        <v>-0.29133278438576787</v>
      </c>
      <c r="M23" s="23">
        <v>-0.13877461143177275</v>
      </c>
      <c r="N23" s="23">
        <v>-1.1905820864126988E-2</v>
      </c>
      <c r="O23" s="23">
        <v>-1.210977823898593E-2</v>
      </c>
      <c r="P23" s="8"/>
      <c r="AF23" s="1" t="s">
        <v>36</v>
      </c>
      <c r="AG23" s="2">
        <v>110.92579766</v>
      </c>
      <c r="AH23" s="18">
        <f t="shared" si="0"/>
        <v>0.28318888544398391</v>
      </c>
      <c r="AI23" s="2">
        <v>78.609476167499906</v>
      </c>
      <c r="AJ23" s="18">
        <f t="shared" si="1"/>
        <v>0.34518281531893308</v>
      </c>
      <c r="AK23" s="2">
        <v>67.700476657499905</v>
      </c>
      <c r="AL23" s="18">
        <f t="shared" si="2"/>
        <v>0.33886465915874558</v>
      </c>
      <c r="AM23" s="2">
        <v>66.894446909999701</v>
      </c>
      <c r="AN23" s="18">
        <f t="shared" si="3"/>
        <v>0.33795463230762368</v>
      </c>
      <c r="AO23" s="2">
        <v>66.084369992499987</v>
      </c>
      <c r="AP23" s="18">
        <f t="shared" si="4"/>
        <v>0.33633832672034802</v>
      </c>
      <c r="AQ23" s="2">
        <v>138.55172980749958</v>
      </c>
      <c r="AR23" s="18">
        <f t="shared" si="5"/>
        <v>0.188112888355222</v>
      </c>
      <c r="AT23" s="1" t="s">
        <v>50</v>
      </c>
      <c r="AU23" s="18">
        <v>0.32085053381742185</v>
      </c>
      <c r="AV23" s="18">
        <v>0.33272679192264276</v>
      </c>
      <c r="AW23" s="18">
        <v>0.34991816921033148</v>
      </c>
      <c r="AX23" s="18">
        <v>0.34732290677041272</v>
      </c>
      <c r="AY23" s="18">
        <v>0.35051477002941389</v>
      </c>
      <c r="AZ23" s="18">
        <v>0.29970338896524534</v>
      </c>
    </row>
    <row r="24" spans="2:53" x14ac:dyDescent="0.25">
      <c r="B24" s="1"/>
      <c r="C24" s="1"/>
      <c r="D24" s="8">
        <f>(D23-C23)/C23</f>
        <v>-0.33696774438581384</v>
      </c>
      <c r="E24" s="8">
        <f>(E23-D23)/D23</f>
        <v>-0.13192038941091777</v>
      </c>
      <c r="F24" s="8">
        <f t="shared" ref="F24" si="9">(F23-E23)/E23</f>
        <v>-9.8044975697876378E-3</v>
      </c>
      <c r="G24" s="8">
        <f t="shared" ref="G24" si="10">(G23-F23)/F23</f>
        <v>-1.0287299374643557E-2</v>
      </c>
      <c r="H24" s="8">
        <f t="shared" ref="H24" si="11">(H23-G23)/G23</f>
        <v>1.5421743942488688</v>
      </c>
      <c r="K24" s="1" t="s">
        <v>42</v>
      </c>
      <c r="L24" s="23">
        <v>-0.24120693125191212</v>
      </c>
      <c r="M24" s="23">
        <v>-0.11816878454010303</v>
      </c>
      <c r="N24" s="23">
        <v>-8.2115967504506355E-3</v>
      </c>
      <c r="O24" s="23">
        <v>-1.0366086202501297E-2</v>
      </c>
      <c r="P24" s="8"/>
      <c r="AF24" s="1" t="s">
        <v>20</v>
      </c>
      <c r="AG24" s="2">
        <v>136.89607932017901</v>
      </c>
      <c r="AH24" s="18">
        <f t="shared" si="0"/>
        <v>0.23412301022870113</v>
      </c>
      <c r="AI24" s="2">
        <v>103.87579612694029</v>
      </c>
      <c r="AJ24" s="18">
        <f t="shared" si="1"/>
        <v>0.321415701913638</v>
      </c>
      <c r="AK24" s="2">
        <v>91.600919555484211</v>
      </c>
      <c r="AL24" s="18">
        <f t="shared" si="2"/>
        <v>0.35303212145606949</v>
      </c>
      <c r="AM24" s="2">
        <v>90.848729742124107</v>
      </c>
      <c r="AN24" s="18">
        <f t="shared" si="3"/>
        <v>0.35809075250076705</v>
      </c>
      <c r="AO24" s="2">
        <v>89.906983978229505</v>
      </c>
      <c r="AP24" s="18">
        <f t="shared" si="4"/>
        <v>0.36048787312995767</v>
      </c>
      <c r="AQ24" s="2">
        <v>168.0905546270013</v>
      </c>
      <c r="AR24" s="18">
        <f t="shared" si="5"/>
        <v>0.21319708429871095</v>
      </c>
      <c r="AT24" s="1" t="s">
        <v>51</v>
      </c>
      <c r="AU24" s="18">
        <v>0.12335638665485373</v>
      </c>
      <c r="AV24" s="18">
        <v>0.12070439091471684</v>
      </c>
      <c r="AW24" s="18">
        <v>0.12079494569565885</v>
      </c>
      <c r="AX24" s="18">
        <v>0.12212835295071343</v>
      </c>
      <c r="AY24" s="18">
        <v>0.12060367657052558</v>
      </c>
      <c r="AZ24" s="18">
        <v>0.10269276364048011</v>
      </c>
    </row>
    <row r="25" spans="2:53" x14ac:dyDescent="0.25">
      <c r="B25" s="1" t="s">
        <v>35</v>
      </c>
      <c r="C25" s="2">
        <v>86.445416507500084</v>
      </c>
      <c r="D25" s="2">
        <v>58.437764199999961</v>
      </c>
      <c r="E25" s="2">
        <v>50.565586442500042</v>
      </c>
      <c r="F25" s="2">
        <v>49.997544979999944</v>
      </c>
      <c r="G25" s="2">
        <v>49.451825687499934</v>
      </c>
      <c r="H25" s="2">
        <v>116.6149539874997</v>
      </c>
      <c r="K25" s="1" t="s">
        <v>43</v>
      </c>
      <c r="L25" s="23">
        <v>-0.23438434072998512</v>
      </c>
      <c r="M25" s="23">
        <v>-0.10679369009395479</v>
      </c>
      <c r="N25" s="23">
        <v>-1.011834284070163E-2</v>
      </c>
      <c r="O25" s="23">
        <v>-8.0216028470720731E-3</v>
      </c>
      <c r="P25" s="8"/>
      <c r="AF25" s="1" t="s">
        <v>21</v>
      </c>
      <c r="AG25" s="2">
        <v>180.81925944757057</v>
      </c>
      <c r="AH25" s="18">
        <f>(AG25-AG24)/AG24</f>
        <v>0.32085053381742185</v>
      </c>
      <c r="AI25" s="2">
        <v>138.43805653066761</v>
      </c>
      <c r="AJ25" s="18">
        <f>(AI25-AI24)/AI24</f>
        <v>0.33272679192264276</v>
      </c>
      <c r="AK25" s="2">
        <v>123.6537456243221</v>
      </c>
      <c r="AL25" s="18">
        <f>(AK25-AK24)/AK24</f>
        <v>0.34991816921033148</v>
      </c>
      <c r="AM25" s="2">
        <v>122.4025746325583</v>
      </c>
      <c r="AN25" s="18">
        <f>(AM25-AM24)/AM24</f>
        <v>0.34732290677041272</v>
      </c>
      <c r="AO25" s="2">
        <v>121.42070979139682</v>
      </c>
      <c r="AP25" s="18">
        <f>(AO25-AO24)/AO24</f>
        <v>0.35051477002941389</v>
      </c>
      <c r="AQ25" s="2">
        <v>218.46786350176129</v>
      </c>
      <c r="AR25" s="18">
        <f>(AQ25-AQ24)/AQ24</f>
        <v>0.29970338896524534</v>
      </c>
      <c r="AT25" s="1" t="s">
        <v>52</v>
      </c>
      <c r="AU25" s="18">
        <v>0.14502071837080485</v>
      </c>
      <c r="AV25" s="18">
        <v>0.15274294879470063</v>
      </c>
      <c r="AW25" s="18">
        <v>0.15358302396049786</v>
      </c>
      <c r="AX25" s="18">
        <v>0.15356380748102072</v>
      </c>
      <c r="AY25" s="18">
        <v>0.15251435407311267</v>
      </c>
      <c r="AZ25" s="18">
        <v>0.12778343343989815</v>
      </c>
    </row>
    <row r="26" spans="2:53" x14ac:dyDescent="0.25">
      <c r="B26" s="1"/>
      <c r="C26" s="1"/>
      <c r="D26" s="8">
        <f>(D25-C25)/C25</f>
        <v>-0.32399233457415472</v>
      </c>
      <c r="E26" s="8">
        <f>(E25-D25)/D25</f>
        <v>-0.13471045419461691</v>
      </c>
      <c r="F26" s="8">
        <f t="shared" ref="F26" si="12">(F25-E25)/E25</f>
        <v>-1.1233756047624175E-2</v>
      </c>
      <c r="G26" s="8">
        <f t="shared" ref="G26" si="13">(G25-F25)/F25</f>
        <v>-1.0914921777025435E-2</v>
      </c>
      <c r="H26" s="8">
        <f t="shared" ref="H26" si="14">(H25-G25)/G25</f>
        <v>1.3581526539469455</v>
      </c>
      <c r="K26" s="1" t="s">
        <v>44</v>
      </c>
      <c r="L26" s="23">
        <v>-0.23619178980944633</v>
      </c>
      <c r="M26" s="23">
        <v>-0.1067215175367798</v>
      </c>
      <c r="N26" s="23">
        <v>-8.9406828339620228E-3</v>
      </c>
      <c r="O26" s="23">
        <v>-9.3694397748340357E-3</v>
      </c>
      <c r="P26" s="8"/>
      <c r="AF26" s="1" t="s">
        <v>22</v>
      </c>
      <c r="AG26" s="2">
        <v>203.1244699306294</v>
      </c>
      <c r="AH26" s="18">
        <f t="shared" ref="AH26:AJ27" si="15">(AG26-AG25)/AG25</f>
        <v>0.12335638665485373</v>
      </c>
      <c r="AI26" s="2">
        <v>155.14813782361898</v>
      </c>
      <c r="AJ26" s="18">
        <f t="shared" si="15"/>
        <v>0.12070439091471684</v>
      </c>
      <c r="AK26" s="2">
        <v>138.5904931120769</v>
      </c>
      <c r="AL26" s="18">
        <f t="shared" ref="AL26" si="16">(AK26-AK25)/AK25</f>
        <v>0.12079494569565885</v>
      </c>
      <c r="AM26" s="2">
        <v>137.35139946935942</v>
      </c>
      <c r="AN26" s="18">
        <f t="shared" ref="AN26" si="17">(AM26-AM25)/AM25</f>
        <v>0.12212835295071343</v>
      </c>
      <c r="AO26" s="2">
        <v>136.06449380404209</v>
      </c>
      <c r="AP26" s="18">
        <f t="shared" ref="AP26" si="18">(AO26-AO25)/AO25</f>
        <v>0.12060367657052558</v>
      </c>
      <c r="AQ26" s="2">
        <v>240.90293217138833</v>
      </c>
      <c r="AR26" s="18">
        <f t="shared" ref="AR26" si="19">(AQ26-AQ25)/AQ25</f>
        <v>0.10269276364048011</v>
      </c>
    </row>
    <row r="27" spans="2:53" x14ac:dyDescent="0.25">
      <c r="B27" s="1" t="s">
        <v>36</v>
      </c>
      <c r="C27" s="2">
        <v>110.92579766</v>
      </c>
      <c r="D27" s="2">
        <v>78.609476167499906</v>
      </c>
      <c r="E27" s="2">
        <v>67.700476657499905</v>
      </c>
      <c r="F27" s="2">
        <v>66.894446909999701</v>
      </c>
      <c r="G27" s="2">
        <v>66.084369992499987</v>
      </c>
      <c r="H27" s="2">
        <v>138.55172980749958</v>
      </c>
      <c r="K27" s="1" t="s">
        <v>45</v>
      </c>
      <c r="L27" s="23">
        <v>-0.23104052668894376</v>
      </c>
      <c r="M27" s="23">
        <v>-0.10607053019390079</v>
      </c>
      <c r="N27" s="23">
        <v>-8.9571919803635939E-3</v>
      </c>
      <c r="O27" s="23">
        <v>-1.0270664839857821E-2</v>
      </c>
      <c r="P27" s="8"/>
      <c r="AF27" s="1" t="s">
        <v>23</v>
      </c>
      <c r="AG27" s="2">
        <v>232.58172647865823</v>
      </c>
      <c r="AH27" s="18">
        <f>(AG27-AG26)/AG26</f>
        <v>0.14502071837080485</v>
      </c>
      <c r="AI27" s="2">
        <v>178.84592189480517</v>
      </c>
      <c r="AJ27" s="18">
        <f t="shared" si="15"/>
        <v>0.15274294879470063</v>
      </c>
      <c r="AK27" s="2">
        <v>159.87564013640622</v>
      </c>
      <c r="AL27" s="18">
        <f t="shared" ref="AL27" si="20">(AK27-AK26)/AK26</f>
        <v>0.15358302396049786</v>
      </c>
      <c r="AM27" s="2">
        <v>158.4436033347209</v>
      </c>
      <c r="AN27" s="18">
        <f t="shared" ref="AN27" si="21">(AM27-AM26)/AM26</f>
        <v>0.15356380748102072</v>
      </c>
      <c r="AO27" s="2">
        <v>156.81628218885061</v>
      </c>
      <c r="AP27" s="18">
        <f t="shared" ref="AP27" si="22">(AO27-AO26)/AO26</f>
        <v>0.15251435407311267</v>
      </c>
      <c r="AQ27" s="2">
        <v>271.68633596998723</v>
      </c>
      <c r="AR27" s="18">
        <f t="shared" ref="AR27" si="23">(AQ27-AQ26)/AQ26</f>
        <v>0.12778343343989815</v>
      </c>
    </row>
    <row r="28" spans="2:53" x14ac:dyDescent="0.25">
      <c r="B28" s="1"/>
      <c r="C28" s="1"/>
      <c r="D28" s="8">
        <f>(D27-C27)/C27</f>
        <v>-0.29133278438576787</v>
      </c>
      <c r="E28" s="8">
        <f>(E27-D27)/D27</f>
        <v>-0.13877461143177275</v>
      </c>
      <c r="F28" s="8">
        <f t="shared" ref="F28" si="24">(F27-E27)/E27</f>
        <v>-1.1905820864126988E-2</v>
      </c>
      <c r="G28" s="8">
        <f t="shared" ref="G28" si="25">(G27-F27)/F27</f>
        <v>-1.210977823898593E-2</v>
      </c>
      <c r="H28" s="8">
        <f t="shared" ref="H28" si="26">(H27-G27)/G27</f>
        <v>1.0965884947261209</v>
      </c>
    </row>
    <row r="29" spans="2:53" x14ac:dyDescent="0.25">
      <c r="B29" s="1" t="s">
        <v>20</v>
      </c>
      <c r="C29" s="2">
        <v>136.89607932017901</v>
      </c>
      <c r="D29" s="2">
        <v>103.87579612694029</v>
      </c>
      <c r="E29" s="2">
        <v>91.600919555484211</v>
      </c>
      <c r="F29" s="2">
        <v>90.848729742124107</v>
      </c>
      <c r="G29" s="2">
        <v>89.906983978229505</v>
      </c>
      <c r="H29" s="2">
        <v>168.0905546270013</v>
      </c>
      <c r="K29" s="13" t="s">
        <v>24</v>
      </c>
      <c r="L29" s="14"/>
      <c r="M29" s="14"/>
      <c r="N29" s="14"/>
      <c r="O29" s="14"/>
    </row>
    <row r="30" spans="2:53" x14ac:dyDescent="0.25">
      <c r="B30" s="1"/>
      <c r="C30" s="2"/>
      <c r="D30" s="8">
        <f>(D29-C29)/C29</f>
        <v>-0.24120693125191212</v>
      </c>
      <c r="E30" s="8">
        <f t="shared" ref="E30:H30" si="27">(E29-D29)/D29</f>
        <v>-0.11816878454010303</v>
      </c>
      <c r="F30" s="8">
        <f t="shared" si="27"/>
        <v>-8.2115967504506355E-3</v>
      </c>
      <c r="G30" s="8">
        <f t="shared" si="27"/>
        <v>-1.0366086202501297E-2</v>
      </c>
      <c r="H30" s="8">
        <f t="shared" si="27"/>
        <v>0.86960508727223595</v>
      </c>
      <c r="L30" s="20" t="s">
        <v>59</v>
      </c>
      <c r="M30" s="20" t="s">
        <v>60</v>
      </c>
      <c r="N30" s="20" t="s">
        <v>61</v>
      </c>
      <c r="O30" s="20" t="s">
        <v>62</v>
      </c>
      <c r="P30" s="20" t="s">
        <v>63</v>
      </c>
      <c r="AF30" s="15" t="s">
        <v>37</v>
      </c>
      <c r="AG30" s="16"/>
      <c r="AH30" s="16"/>
      <c r="AI30" s="17"/>
      <c r="AJ30" s="17"/>
      <c r="AK30" s="17"/>
      <c r="AL30" s="17"/>
      <c r="AM30" s="17"/>
      <c r="AN30" s="17"/>
      <c r="AO30" s="17"/>
      <c r="AP30" s="17"/>
      <c r="AQ30" s="2"/>
      <c r="AR30" s="2"/>
      <c r="AT30" s="15" t="s">
        <v>37</v>
      </c>
      <c r="AU30" s="16"/>
      <c r="AV30" s="16"/>
      <c r="AW30" s="17"/>
      <c r="AX30" s="17"/>
      <c r="AY30" s="17"/>
      <c r="AZ30" s="17"/>
      <c r="BA30" s="17"/>
    </row>
    <row r="31" spans="2:53" x14ac:dyDescent="0.25">
      <c r="B31" s="1" t="s">
        <v>21</v>
      </c>
      <c r="C31" s="2">
        <v>180.81925944757057</v>
      </c>
      <c r="D31" s="2">
        <v>138.43805653066761</v>
      </c>
      <c r="E31" s="2">
        <v>123.6537456243221</v>
      </c>
      <c r="F31" s="2">
        <v>122.4025746325583</v>
      </c>
      <c r="G31" s="2">
        <v>121.42070979139682</v>
      </c>
      <c r="H31" s="2">
        <v>218.46786350176129</v>
      </c>
      <c r="K31" s="1" t="s">
        <v>38</v>
      </c>
      <c r="L31" s="21">
        <f t="shared" ref="L31:O38" si="28">L20</f>
        <v>-0.32321397826385573</v>
      </c>
      <c r="M31" s="21">
        <f t="shared" si="28"/>
        <v>-7.6149541148724839E-2</v>
      </c>
      <c r="N31" s="21">
        <f t="shared" si="28"/>
        <v>-4.5460694197017697E-3</v>
      </c>
      <c r="O31" s="21">
        <f t="shared" si="28"/>
        <v>-5.813226726517043E-3</v>
      </c>
      <c r="P31" s="8">
        <v>1.6357958425134311</v>
      </c>
      <c r="AQ31" s="2"/>
      <c r="AR31" s="2"/>
      <c r="AT31" s="1"/>
      <c r="AU31" s="25" t="s">
        <v>70</v>
      </c>
      <c r="AV31" s="1" t="s">
        <v>15</v>
      </c>
      <c r="AW31" s="1" t="s">
        <v>16</v>
      </c>
      <c r="AX31" s="1" t="s">
        <v>17</v>
      </c>
      <c r="AY31" s="1" t="s">
        <v>18</v>
      </c>
      <c r="AZ31" s="1" t="s">
        <v>19</v>
      </c>
    </row>
    <row r="32" spans="2:53" x14ac:dyDescent="0.25">
      <c r="B32" s="1"/>
      <c r="C32" s="2"/>
      <c r="D32" s="8">
        <f>(D31-C31)/C31</f>
        <v>-0.23438434072998512</v>
      </c>
      <c r="E32" s="8">
        <f t="shared" ref="E32" si="29">(E31-D31)/D31</f>
        <v>-0.10679369009395479</v>
      </c>
      <c r="F32" s="8">
        <f t="shared" ref="F32" si="30">(F31-E31)/E31</f>
        <v>-1.011834284070163E-2</v>
      </c>
      <c r="G32" s="8">
        <f t="shared" ref="G32" si="31">(G31-F31)/F31</f>
        <v>-8.0216028470720731E-3</v>
      </c>
      <c r="H32" s="8">
        <f t="shared" ref="H32" si="32">(H31-G31)/G31</f>
        <v>0.7992636007242373</v>
      </c>
      <c r="K32" s="1" t="s">
        <v>39</v>
      </c>
      <c r="L32" s="21">
        <f t="shared" si="28"/>
        <v>-0.33696774438581384</v>
      </c>
      <c r="M32" s="21">
        <f t="shared" si="28"/>
        <v>-0.13192038941091777</v>
      </c>
      <c r="N32" s="21">
        <f t="shared" si="28"/>
        <v>-9.8044975697876378E-3</v>
      </c>
      <c r="O32" s="21">
        <f t="shared" si="28"/>
        <v>-1.0287299374643557E-2</v>
      </c>
      <c r="P32" s="8">
        <v>1.5421743942488688</v>
      </c>
      <c r="AF32" s="1" t="s">
        <v>13</v>
      </c>
      <c r="AG32" s="25" t="s">
        <v>70</v>
      </c>
      <c r="AH32" s="1"/>
      <c r="AI32" s="1" t="s">
        <v>15</v>
      </c>
      <c r="AJ32" s="1"/>
      <c r="AK32" s="1" t="s">
        <v>16</v>
      </c>
      <c r="AL32" s="1"/>
      <c r="AM32" s="1" t="s">
        <v>17</v>
      </c>
      <c r="AN32" s="1"/>
      <c r="AO32" s="1" t="s">
        <v>18</v>
      </c>
      <c r="AP32" s="1"/>
      <c r="AQ32" s="1" t="s">
        <v>19</v>
      </c>
      <c r="AR32" s="2"/>
      <c r="AT32" s="1" t="s">
        <v>46</v>
      </c>
      <c r="AU32" s="18">
        <v>1.1221072948239394</v>
      </c>
      <c r="AV32" s="18">
        <v>1.0789814522661441</v>
      </c>
      <c r="AW32" s="18">
        <v>0.95347785154442366</v>
      </c>
      <c r="AX32" s="18">
        <v>0.94315871711783872</v>
      </c>
      <c r="AY32" s="18">
        <v>0.93441404911285209</v>
      </c>
      <c r="AZ32" s="18">
        <v>0.86570514461417658</v>
      </c>
    </row>
    <row r="33" spans="2:53" x14ac:dyDescent="0.25">
      <c r="B33" s="1" t="s">
        <v>22</v>
      </c>
      <c r="C33" s="2">
        <v>203.1244699306294</v>
      </c>
      <c r="D33" s="2">
        <v>155.14813782361898</v>
      </c>
      <c r="E33" s="2">
        <v>138.5904931120769</v>
      </c>
      <c r="F33" s="2">
        <v>137.35139946935942</v>
      </c>
      <c r="G33" s="2">
        <v>136.06449380404209</v>
      </c>
      <c r="H33" s="2">
        <v>240.90293217138833</v>
      </c>
      <c r="K33" s="1" t="s">
        <v>40</v>
      </c>
      <c r="L33" s="21">
        <f t="shared" si="28"/>
        <v>-0.32399233457415472</v>
      </c>
      <c r="M33" s="21">
        <f t="shared" si="28"/>
        <v>-0.13471045419461691</v>
      </c>
      <c r="N33" s="21">
        <f t="shared" si="28"/>
        <v>-1.1233756047624175E-2</v>
      </c>
      <c r="O33" s="21">
        <f t="shared" si="28"/>
        <v>-1.0914921777025435E-2</v>
      </c>
      <c r="P33" s="8">
        <v>1.3581526539469455</v>
      </c>
      <c r="AF33" s="1" t="s">
        <v>33</v>
      </c>
      <c r="AG33" s="2">
        <v>30.941108600000049</v>
      </c>
      <c r="AH33" s="1"/>
      <c r="AI33" s="2">
        <v>20.940509797500034</v>
      </c>
      <c r="AJ33" s="1"/>
      <c r="AK33" s="2">
        <v>19.34589958500003</v>
      </c>
      <c r="AL33" s="1"/>
      <c r="AM33" s="2">
        <v>19.25795178250004</v>
      </c>
      <c r="AN33" s="1"/>
      <c r="AO33" s="2">
        <v>19.146000942500034</v>
      </c>
      <c r="AP33" s="1"/>
      <c r="AQ33" s="2">
        <v>50.464949684999823</v>
      </c>
      <c r="AR33" s="2"/>
      <c r="AT33" s="1" t="s">
        <v>64</v>
      </c>
      <c r="AU33" s="18">
        <v>1.7938693996083885</v>
      </c>
      <c r="AV33" s="18">
        <v>1.7906562335448255</v>
      </c>
      <c r="AW33" s="18">
        <v>1.6137624782104421</v>
      </c>
      <c r="AX33" s="18">
        <v>1.5962026255270503</v>
      </c>
      <c r="AY33" s="18">
        <v>1.5828801448414973</v>
      </c>
      <c r="AZ33" s="18">
        <v>1.310810864083003</v>
      </c>
      <c r="BA33" s="2"/>
    </row>
    <row r="34" spans="2:53" x14ac:dyDescent="0.25">
      <c r="B34" s="1"/>
      <c r="C34" s="2"/>
      <c r="D34" s="8">
        <f>(D33-C33)/C33</f>
        <v>-0.23619178980944633</v>
      </c>
      <c r="E34" s="8">
        <f t="shared" ref="E34" si="33">(E33-D33)/D33</f>
        <v>-0.1067215175367798</v>
      </c>
      <c r="F34" s="8">
        <f t="shared" ref="F34" si="34">(F33-E33)/E33</f>
        <v>-8.9406828339620228E-3</v>
      </c>
      <c r="G34" s="8">
        <f t="shared" ref="G34" si="35">(G33-F33)/F33</f>
        <v>-9.3694397748340357E-3</v>
      </c>
      <c r="H34" s="8">
        <f t="shared" ref="H34" si="36">(H33-G33)/G33</f>
        <v>0.77050548189546708</v>
      </c>
      <c r="K34" s="1" t="s">
        <v>41</v>
      </c>
      <c r="L34" s="21">
        <f t="shared" si="28"/>
        <v>-0.29133278438576787</v>
      </c>
      <c r="M34" s="21">
        <f t="shared" si="28"/>
        <v>-0.13877461143177275</v>
      </c>
      <c r="N34" s="21">
        <f t="shared" si="28"/>
        <v>-1.1905820864126988E-2</v>
      </c>
      <c r="O34" s="21">
        <f t="shared" si="28"/>
        <v>-1.210977823898593E-2</v>
      </c>
      <c r="P34" s="8">
        <v>1.0965884947261209</v>
      </c>
      <c r="AF34" s="1" t="s">
        <v>34</v>
      </c>
      <c r="AG34" s="2">
        <v>65.660352269999834</v>
      </c>
      <c r="AH34" s="18">
        <f t="shared" ref="AH34:AH40" si="37">(AG34-$AG$33)/$AG$33</f>
        <v>1.1221072948239394</v>
      </c>
      <c r="AI34" s="2">
        <v>43.534931470000039</v>
      </c>
      <c r="AJ34" s="18">
        <f t="shared" ref="AJ34:AJ40" si="38">(AI34-$AI$33)/$AI$33</f>
        <v>1.0789814522661441</v>
      </c>
      <c r="AK34" s="2">
        <v>37.791786357500015</v>
      </c>
      <c r="AL34" s="18">
        <f t="shared" ref="AL34:AL40" si="39">(AK34-$AK$33)/$AK$33</f>
        <v>0.95347785154442366</v>
      </c>
      <c r="AM34" s="2">
        <v>37.421256879999973</v>
      </c>
      <c r="AN34" s="18">
        <f t="shared" ref="AN34:AN40" si="40">(AM34-$AM$33)/$AM$33</f>
        <v>0.94315871711783872</v>
      </c>
      <c r="AO34" s="2">
        <v>37.036293207499973</v>
      </c>
      <c r="AP34" s="18">
        <f t="shared" ref="AP34:AP40" si="41">(AO34-$AO$33)/$AO$33</f>
        <v>0.93441404911285209</v>
      </c>
      <c r="AQ34" s="2">
        <v>94.152716249999742</v>
      </c>
      <c r="AR34" s="18">
        <f t="shared" ref="AR34:AR40" si="42">(AQ34-$AQ$33)/$AQ$33</f>
        <v>0.86570514461417658</v>
      </c>
      <c r="AT34" s="1" t="s">
        <v>65</v>
      </c>
      <c r="AU34" s="18">
        <v>2.5850621609595406</v>
      </c>
      <c r="AV34" s="18">
        <v>2.753942808827158</v>
      </c>
      <c r="AW34" s="18">
        <v>2.499474209511142</v>
      </c>
      <c r="AX34" s="18">
        <v>2.4736013292331318</v>
      </c>
      <c r="AY34" s="18">
        <v>2.4516017308766966</v>
      </c>
      <c r="AZ34" s="18">
        <v>1.7455041701682827</v>
      </c>
    </row>
    <row r="35" spans="2:53" x14ac:dyDescent="0.25">
      <c r="B35" s="1" t="s">
        <v>23</v>
      </c>
      <c r="C35" s="2">
        <v>232.58172647865823</v>
      </c>
      <c r="D35" s="2">
        <v>178.84592189480517</v>
      </c>
      <c r="E35" s="2">
        <v>159.87564013640622</v>
      </c>
      <c r="F35" s="2">
        <v>158.4436033347209</v>
      </c>
      <c r="G35" s="2">
        <v>156.81628218885061</v>
      </c>
      <c r="H35" s="2">
        <v>271.68633596998723</v>
      </c>
      <c r="K35" s="1" t="s">
        <v>42</v>
      </c>
      <c r="L35" s="21">
        <f t="shared" si="28"/>
        <v>-0.24120693125191212</v>
      </c>
      <c r="M35" s="21">
        <f t="shared" si="28"/>
        <v>-0.11816878454010303</v>
      </c>
      <c r="N35" s="21">
        <f t="shared" si="28"/>
        <v>-8.2115967504506355E-3</v>
      </c>
      <c r="O35" s="21">
        <f t="shared" si="28"/>
        <v>-1.0366086202501297E-2</v>
      </c>
      <c r="P35" s="8">
        <v>0.86960508727223595</v>
      </c>
      <c r="AF35" s="1" t="s">
        <v>35</v>
      </c>
      <c r="AG35" s="2">
        <v>86.445416507500084</v>
      </c>
      <c r="AH35" s="18">
        <f t="shared" si="37"/>
        <v>1.7938693996083885</v>
      </c>
      <c r="AI35" s="2">
        <v>58.437764199999961</v>
      </c>
      <c r="AJ35" s="18">
        <f t="shared" si="38"/>
        <v>1.7906562335448255</v>
      </c>
      <c r="AK35" s="2">
        <v>50.565586442500042</v>
      </c>
      <c r="AL35" s="18">
        <f t="shared" si="39"/>
        <v>1.6137624782104421</v>
      </c>
      <c r="AM35" s="2">
        <v>49.997544979999944</v>
      </c>
      <c r="AN35" s="18">
        <f t="shared" si="40"/>
        <v>1.5962026255270503</v>
      </c>
      <c r="AO35" s="2">
        <v>49.451825687499934</v>
      </c>
      <c r="AP35" s="18">
        <f t="shared" si="41"/>
        <v>1.5828801448414973</v>
      </c>
      <c r="AQ35" s="2">
        <v>116.6149539874997</v>
      </c>
      <c r="AR35" s="18">
        <f t="shared" si="42"/>
        <v>1.310810864083003</v>
      </c>
      <c r="AT35" s="1" t="s">
        <v>66</v>
      </c>
      <c r="AU35" s="18">
        <v>3.4244077059404003</v>
      </c>
      <c r="AV35" s="18">
        <v>3.9605189716699933</v>
      </c>
      <c r="AW35" s="18">
        <v>3.7349010136756622</v>
      </c>
      <c r="AX35" s="18">
        <v>3.7174658431058885</v>
      </c>
      <c r="AY35" s="18">
        <v>3.6958622977321176</v>
      </c>
      <c r="AZ35" s="18">
        <v>2.3308376541781128</v>
      </c>
    </row>
    <row r="36" spans="2:53" x14ac:dyDescent="0.25">
      <c r="C36" s="11"/>
      <c r="D36" s="8">
        <f>(D35-C35)/C35</f>
        <v>-0.23104052668894376</v>
      </c>
      <c r="E36" s="8">
        <f t="shared" ref="E36" si="43">(E35-D35)/D35</f>
        <v>-0.10607053019390079</v>
      </c>
      <c r="F36" s="8">
        <f t="shared" ref="F36" si="44">(F35-E35)/E35</f>
        <v>-8.9571919803635939E-3</v>
      </c>
      <c r="G36" s="8">
        <f t="shared" ref="G36" si="45">(G35-F35)/F35</f>
        <v>-1.0270664839857821E-2</v>
      </c>
      <c r="H36" s="8">
        <f t="shared" ref="H36" si="46">(H35-G35)/G35</f>
        <v>0.73251356413870972</v>
      </c>
      <c r="K36" s="1" t="s">
        <v>43</v>
      </c>
      <c r="L36" s="21">
        <f t="shared" si="28"/>
        <v>-0.23438434072998512</v>
      </c>
      <c r="M36" s="21">
        <f t="shared" si="28"/>
        <v>-0.10679369009395479</v>
      </c>
      <c r="N36" s="21">
        <f t="shared" si="28"/>
        <v>-1.011834284070163E-2</v>
      </c>
      <c r="O36" s="21">
        <f t="shared" si="28"/>
        <v>-8.0216028470720731E-3</v>
      </c>
      <c r="P36" s="8">
        <v>0.7992636007242373</v>
      </c>
      <c r="AF36" s="1" t="s">
        <v>36</v>
      </c>
      <c r="AG36" s="2">
        <v>110.92579766</v>
      </c>
      <c r="AH36" s="18">
        <f t="shared" si="37"/>
        <v>2.5850621609595406</v>
      </c>
      <c r="AI36" s="2">
        <v>78.609476167499906</v>
      </c>
      <c r="AJ36" s="18">
        <f t="shared" si="38"/>
        <v>2.753942808827158</v>
      </c>
      <c r="AK36" s="2">
        <v>67.700476657499905</v>
      </c>
      <c r="AL36" s="18">
        <f t="shared" si="39"/>
        <v>2.499474209511142</v>
      </c>
      <c r="AM36" s="2">
        <v>66.894446909999701</v>
      </c>
      <c r="AN36" s="18">
        <f t="shared" si="40"/>
        <v>2.4736013292331318</v>
      </c>
      <c r="AO36" s="2">
        <v>66.084369992499987</v>
      </c>
      <c r="AP36" s="18">
        <f t="shared" si="41"/>
        <v>2.4516017308766966</v>
      </c>
      <c r="AQ36" s="2">
        <v>138.55172980749958</v>
      </c>
      <c r="AR36" s="18">
        <f t="shared" si="42"/>
        <v>1.7455041701682827</v>
      </c>
      <c r="AT36" s="1" t="s">
        <v>67</v>
      </c>
      <c r="AU36" s="18">
        <v>4.8439812802172924</v>
      </c>
      <c r="AV36" s="18">
        <v>5.6110165353851569</v>
      </c>
      <c r="AW36" s="18">
        <v>5.3917289077731922</v>
      </c>
      <c r="AX36" s="18">
        <v>5.3559497923235613</v>
      </c>
      <c r="AY36" s="18">
        <v>5.3418313911114863</v>
      </c>
      <c r="AZ36" s="18">
        <v>3.3291009872283408</v>
      </c>
    </row>
    <row r="37" spans="2:53" x14ac:dyDescent="0.25">
      <c r="C37" s="11"/>
      <c r="D37" s="11"/>
      <c r="E37" s="11"/>
      <c r="F37" s="11"/>
      <c r="G37" s="11"/>
      <c r="H37" s="11"/>
      <c r="K37" s="1" t="s">
        <v>44</v>
      </c>
      <c r="L37" s="21">
        <f t="shared" si="28"/>
        <v>-0.23619178980944633</v>
      </c>
      <c r="M37" s="21">
        <f t="shared" si="28"/>
        <v>-0.1067215175367798</v>
      </c>
      <c r="N37" s="21">
        <f t="shared" si="28"/>
        <v>-8.9406828339620228E-3</v>
      </c>
      <c r="O37" s="21">
        <f t="shared" si="28"/>
        <v>-9.3694397748340357E-3</v>
      </c>
      <c r="P37" s="8">
        <v>0.77050548189546708</v>
      </c>
      <c r="AF37" s="1" t="s">
        <v>20</v>
      </c>
      <c r="AG37" s="2">
        <v>136.89607932017901</v>
      </c>
      <c r="AH37" s="18">
        <f t="shared" si="37"/>
        <v>3.4244077059404003</v>
      </c>
      <c r="AI37" s="2">
        <v>103.87579612694029</v>
      </c>
      <c r="AJ37" s="18">
        <f t="shared" si="38"/>
        <v>3.9605189716699933</v>
      </c>
      <c r="AK37" s="2">
        <v>91.600919555484211</v>
      </c>
      <c r="AL37" s="18">
        <f t="shared" si="39"/>
        <v>3.7349010136756622</v>
      </c>
      <c r="AM37" s="2">
        <v>90.848729742124107</v>
      </c>
      <c r="AN37" s="18">
        <f t="shared" si="40"/>
        <v>3.7174658431058885</v>
      </c>
      <c r="AO37" s="2">
        <v>89.906983978229505</v>
      </c>
      <c r="AP37" s="18">
        <f t="shared" si="41"/>
        <v>3.6958622977321176</v>
      </c>
      <c r="AQ37" s="2">
        <v>168.0905546270013</v>
      </c>
      <c r="AR37" s="18">
        <f t="shared" si="42"/>
        <v>2.3308376541781128</v>
      </c>
      <c r="AT37" s="1" t="s">
        <v>68</v>
      </c>
      <c r="AU37" s="18">
        <v>5.564873694623504</v>
      </c>
      <c r="AV37" s="18">
        <v>6.4089952596159439</v>
      </c>
      <c r="AW37" s="18">
        <v>6.1638174540890285</v>
      </c>
      <c r="AX37" s="18">
        <v>6.1321914718974675</v>
      </c>
      <c r="AY37" s="18">
        <v>6.1066795730699015</v>
      </c>
      <c r="AZ37" s="18">
        <v>3.7736683316855499</v>
      </c>
    </row>
    <row r="38" spans="2:53" x14ac:dyDescent="0.25">
      <c r="C38" s="11"/>
      <c r="D38" s="11"/>
      <c r="E38" s="11"/>
      <c r="F38" s="11"/>
      <c r="G38" s="11"/>
      <c r="H38" s="11"/>
      <c r="K38" s="1" t="s">
        <v>45</v>
      </c>
      <c r="L38" s="21">
        <f t="shared" si="28"/>
        <v>-0.23104052668894376</v>
      </c>
      <c r="M38" s="21">
        <f t="shared" si="28"/>
        <v>-0.10607053019390079</v>
      </c>
      <c r="N38" s="21">
        <f t="shared" si="28"/>
        <v>-8.9571919803635939E-3</v>
      </c>
      <c r="O38" s="21">
        <f t="shared" si="28"/>
        <v>-1.0270664839857821E-2</v>
      </c>
      <c r="P38" s="8">
        <v>0.73251356413870972</v>
      </c>
      <c r="AF38" s="1" t="s">
        <v>21</v>
      </c>
      <c r="AG38" s="2">
        <v>180.81925944757057</v>
      </c>
      <c r="AH38" s="18">
        <f t="shared" si="37"/>
        <v>4.8439812802172924</v>
      </c>
      <c r="AI38" s="2">
        <v>138.43805653066761</v>
      </c>
      <c r="AJ38" s="18">
        <f t="shared" si="38"/>
        <v>5.6110165353851569</v>
      </c>
      <c r="AK38" s="2">
        <v>123.6537456243221</v>
      </c>
      <c r="AL38" s="18">
        <f t="shared" si="39"/>
        <v>5.3917289077731922</v>
      </c>
      <c r="AM38" s="2">
        <v>122.4025746325583</v>
      </c>
      <c r="AN38" s="18">
        <f t="shared" si="40"/>
        <v>5.3559497923235613</v>
      </c>
      <c r="AO38" s="2">
        <v>121.42070979139682</v>
      </c>
      <c r="AP38" s="18">
        <f t="shared" si="41"/>
        <v>5.3418313911114863</v>
      </c>
      <c r="AQ38" s="2">
        <v>218.46786350176129</v>
      </c>
      <c r="AR38" s="18">
        <f t="shared" si="42"/>
        <v>3.3291009872283408</v>
      </c>
      <c r="AT38" s="1" t="s">
        <v>69</v>
      </c>
      <c r="AU38" s="18">
        <v>6.516916393831405</v>
      </c>
      <c r="AV38" s="18">
        <v>7.5406670431756417</v>
      </c>
      <c r="AW38" s="18">
        <v>7.2640582017890152</v>
      </c>
      <c r="AX38" s="18">
        <v>7.227437950005708</v>
      </c>
      <c r="AY38" s="18">
        <v>7.1905502177612428</v>
      </c>
      <c r="AZ38" s="18">
        <v>4.3836640612116398</v>
      </c>
    </row>
    <row r="39" spans="2:53" x14ac:dyDescent="0.25">
      <c r="C39" s="11"/>
      <c r="D39" s="11"/>
      <c r="E39" s="11"/>
      <c r="F39" s="11"/>
      <c r="G39" s="11"/>
      <c r="H39" s="11"/>
      <c r="K39" s="1"/>
      <c r="L39" s="21"/>
      <c r="M39" s="21"/>
      <c r="N39" s="21"/>
      <c r="O39" s="21"/>
      <c r="P39" s="8"/>
      <c r="AF39" s="1" t="s">
        <v>22</v>
      </c>
      <c r="AG39" s="2">
        <v>203.1244699306294</v>
      </c>
      <c r="AH39" s="18">
        <f t="shared" si="37"/>
        <v>5.564873694623504</v>
      </c>
      <c r="AI39" s="2">
        <v>155.14813782361898</v>
      </c>
      <c r="AJ39" s="18">
        <f t="shared" si="38"/>
        <v>6.4089952596159439</v>
      </c>
      <c r="AK39" s="2">
        <v>138.5904931120769</v>
      </c>
      <c r="AL39" s="18">
        <f t="shared" si="39"/>
        <v>6.1638174540890285</v>
      </c>
      <c r="AM39" s="2">
        <v>137.35139946935942</v>
      </c>
      <c r="AN39" s="18">
        <f t="shared" si="40"/>
        <v>6.1321914718974675</v>
      </c>
      <c r="AO39" s="2">
        <v>136.06449380404209</v>
      </c>
      <c r="AP39" s="18">
        <f t="shared" si="41"/>
        <v>6.1066795730699015</v>
      </c>
      <c r="AQ39" s="2">
        <v>240.90293217138833</v>
      </c>
      <c r="AR39" s="18">
        <f t="shared" si="42"/>
        <v>3.7736683316855499</v>
      </c>
    </row>
    <row r="40" spans="2:53" x14ac:dyDescent="0.25">
      <c r="C40" s="11"/>
      <c r="D40" s="11"/>
      <c r="E40" s="11"/>
      <c r="F40" s="11"/>
      <c r="G40" s="11"/>
      <c r="H40" s="11"/>
      <c r="K40" s="1"/>
      <c r="L40" s="21"/>
      <c r="M40" s="21"/>
      <c r="N40" s="21"/>
      <c r="O40" s="21"/>
      <c r="P40" s="8"/>
      <c r="AF40" s="1" t="s">
        <v>23</v>
      </c>
      <c r="AG40" s="2">
        <v>232.58172647865823</v>
      </c>
      <c r="AH40" s="18">
        <f t="shared" si="37"/>
        <v>6.516916393831405</v>
      </c>
      <c r="AI40" s="2">
        <v>178.84592189480517</v>
      </c>
      <c r="AJ40" s="18">
        <f t="shared" si="38"/>
        <v>7.5406670431756417</v>
      </c>
      <c r="AK40" s="2">
        <v>159.87564013640622</v>
      </c>
      <c r="AL40" s="18">
        <f t="shared" si="39"/>
        <v>7.2640582017890152</v>
      </c>
      <c r="AM40" s="2">
        <v>158.4436033347209</v>
      </c>
      <c r="AN40" s="18">
        <f t="shared" si="40"/>
        <v>7.227437950005708</v>
      </c>
      <c r="AO40" s="2">
        <v>156.81628218885061</v>
      </c>
      <c r="AP40" s="18">
        <f t="shared" si="41"/>
        <v>7.1905502177612428</v>
      </c>
      <c r="AQ40" s="2">
        <v>271.68633596998723</v>
      </c>
      <c r="AR40" s="18">
        <f t="shared" si="42"/>
        <v>4.3836640612116398</v>
      </c>
    </row>
    <row r="41" spans="2:53" x14ac:dyDescent="0.25">
      <c r="C41" s="11"/>
      <c r="D41" s="11"/>
      <c r="E41" s="11"/>
      <c r="F41" s="11"/>
      <c r="G41" s="11"/>
      <c r="H41" s="11"/>
      <c r="K41" s="1"/>
      <c r="L41" s="21"/>
      <c r="M41" s="21"/>
      <c r="N41" s="21"/>
      <c r="O41" s="21"/>
      <c r="P41" s="8"/>
    </row>
    <row r="42" spans="2:53" x14ac:dyDescent="0.25">
      <c r="B42" s="24" t="s">
        <v>58</v>
      </c>
      <c r="C42" s="14"/>
      <c r="D42" s="14"/>
      <c r="E42" s="14"/>
      <c r="F42" s="14"/>
      <c r="G42" s="11"/>
      <c r="H42" s="11"/>
      <c r="K42" s="24" t="s">
        <v>58</v>
      </c>
      <c r="L42" s="14"/>
      <c r="M42" s="14"/>
      <c r="N42" s="14"/>
      <c r="O42" s="14"/>
    </row>
    <row r="43" spans="2:53" x14ac:dyDescent="0.25">
      <c r="C43" s="11"/>
      <c r="D43" s="11"/>
      <c r="E43" s="11"/>
      <c r="F43" s="11"/>
      <c r="G43" s="11"/>
      <c r="H43" s="11"/>
      <c r="K43" s="7"/>
      <c r="L43" s="4" t="s">
        <v>53</v>
      </c>
      <c r="M43" s="4" t="s">
        <v>54</v>
      </c>
      <c r="N43" s="4" t="s">
        <v>55</v>
      </c>
      <c r="O43" s="4" t="s">
        <v>56</v>
      </c>
      <c r="P43" s="4" t="s">
        <v>57</v>
      </c>
    </row>
    <row r="44" spans="2:53" x14ac:dyDescent="0.25">
      <c r="B44" s="1" t="s">
        <v>13</v>
      </c>
      <c r="C44" s="1" t="s">
        <v>25</v>
      </c>
      <c r="D44" s="1" t="s">
        <v>15</v>
      </c>
      <c r="E44" s="1" t="s">
        <v>16</v>
      </c>
      <c r="F44" s="1" t="s">
        <v>17</v>
      </c>
      <c r="G44" s="1" t="s">
        <v>18</v>
      </c>
      <c r="H44" s="1" t="s">
        <v>19</v>
      </c>
      <c r="K44" s="1" t="s">
        <v>38</v>
      </c>
      <c r="L44" s="23">
        <v>-0.32321397826385573</v>
      </c>
      <c r="M44" s="23">
        <v>-0.37475092327493403</v>
      </c>
      <c r="N44" s="23">
        <v>-0.3775933489823306</v>
      </c>
      <c r="O44" s="23">
        <v>-0.38121153996078849</v>
      </c>
      <c r="P44" s="23">
        <v>0.63100005036664208</v>
      </c>
    </row>
    <row r="45" spans="2:53" x14ac:dyDescent="0.25">
      <c r="B45" s="1" t="s">
        <v>33</v>
      </c>
      <c r="C45" s="2">
        <v>30.941108600000049</v>
      </c>
      <c r="D45" s="2">
        <v>20.940509797500034</v>
      </c>
      <c r="E45" s="2">
        <v>19.34589958500003</v>
      </c>
      <c r="F45" s="2">
        <v>19.25795178250004</v>
      </c>
      <c r="G45" s="2">
        <v>19.146000942500034</v>
      </c>
      <c r="H45" s="2">
        <v>50.464949684999823</v>
      </c>
      <c r="K45" s="1" t="s">
        <v>39</v>
      </c>
      <c r="L45" s="23">
        <v>-0.33696774438581384</v>
      </c>
      <c r="M45" s="23">
        <v>-0.42443521773843645</v>
      </c>
      <c r="N45" s="23">
        <v>-0.43007834124737526</v>
      </c>
      <c r="O45" s="23">
        <v>-0.43594129597105696</v>
      </c>
      <c r="P45" s="23">
        <v>0.43393559423558026</v>
      </c>
    </row>
    <row r="46" spans="2:53" x14ac:dyDescent="0.25">
      <c r="B46" s="1"/>
      <c r="C46" s="1"/>
      <c r="D46" s="8">
        <f>(D45-$C$45)/$C$45</f>
        <v>-0.32321397826385573</v>
      </c>
      <c r="E46" s="8">
        <f t="shared" ref="E46:H46" si="47">(E45-$C$45)/$C$45</f>
        <v>-0.37475092327493403</v>
      </c>
      <c r="F46" s="8">
        <f t="shared" si="47"/>
        <v>-0.3775933489823306</v>
      </c>
      <c r="G46" s="8">
        <f t="shared" si="47"/>
        <v>-0.38121153996078849</v>
      </c>
      <c r="H46" s="8">
        <f t="shared" si="47"/>
        <v>0.63100005036664208</v>
      </c>
      <c r="I46" s="11">
        <f>G46-D46</f>
        <v>-5.7997561696932765E-2</v>
      </c>
      <c r="K46" s="1" t="s">
        <v>40</v>
      </c>
      <c r="L46" s="23">
        <v>-0.32399233457415472</v>
      </c>
      <c r="M46" s="23">
        <v>-0.41505763422271297</v>
      </c>
      <c r="N46" s="23">
        <v>-0.42162873406177515</v>
      </c>
      <c r="O46" s="23">
        <v>-0.42794161118757007</v>
      </c>
      <c r="P46" s="23">
        <v>0.34900100779064536</v>
      </c>
    </row>
    <row r="47" spans="2:53" x14ac:dyDescent="0.25">
      <c r="B47" s="1" t="s">
        <v>34</v>
      </c>
      <c r="C47" s="2">
        <v>65.660352269999834</v>
      </c>
      <c r="D47" s="2">
        <v>43.534931470000039</v>
      </c>
      <c r="E47" s="2">
        <v>37.791786357500015</v>
      </c>
      <c r="F47" s="2">
        <v>37.421256879999973</v>
      </c>
      <c r="G47" s="2">
        <v>37.036293207499973</v>
      </c>
      <c r="H47" s="2">
        <v>94.152716249999742</v>
      </c>
      <c r="I47" s="11"/>
      <c r="K47" s="1" t="s">
        <v>41</v>
      </c>
      <c r="L47" s="23">
        <v>-0.29133278438576787</v>
      </c>
      <c r="M47" s="23">
        <v>-0.38967780186706924</v>
      </c>
      <c r="N47" s="23">
        <v>-0.39694418862744013</v>
      </c>
      <c r="O47" s="23">
        <v>-0.40424706076889361</v>
      </c>
      <c r="P47" s="23">
        <v>0.24904875809120761</v>
      </c>
    </row>
    <row r="48" spans="2:53" x14ac:dyDescent="0.25">
      <c r="B48" s="1"/>
      <c r="C48" s="1"/>
      <c r="D48" s="8">
        <f>(D47-$C$47)/$C$47</f>
        <v>-0.33696774438581384</v>
      </c>
      <c r="E48" s="8">
        <f t="shared" ref="E48:H48" si="48">(E47-$C$47)/$C$47</f>
        <v>-0.42443521773843645</v>
      </c>
      <c r="F48" s="8">
        <f t="shared" si="48"/>
        <v>-0.43007834124737526</v>
      </c>
      <c r="G48" s="8">
        <f t="shared" si="48"/>
        <v>-0.43594129597105696</v>
      </c>
      <c r="H48" s="8">
        <f t="shared" si="48"/>
        <v>0.43393559423558026</v>
      </c>
      <c r="I48" s="11">
        <f t="shared" ref="I48:I60" si="49">G48-D48</f>
        <v>-9.8973551585243125E-2</v>
      </c>
      <c r="K48" s="1" t="s">
        <v>42</v>
      </c>
      <c r="L48" s="23">
        <v>-0.24120693125191212</v>
      </c>
      <c r="M48" s="23">
        <v>-0.33087258590332852</v>
      </c>
      <c r="N48" s="23">
        <v>-0.33636719040256213</v>
      </c>
      <c r="O48" s="23">
        <v>-0.34324646531365732</v>
      </c>
      <c r="P48" s="23">
        <v>0.22786974953360917</v>
      </c>
    </row>
    <row r="49" spans="2:45" x14ac:dyDescent="0.25">
      <c r="B49" s="1" t="s">
        <v>35</v>
      </c>
      <c r="C49" s="2">
        <v>86.445416507500084</v>
      </c>
      <c r="D49" s="2">
        <v>58.437764199999961</v>
      </c>
      <c r="E49" s="2">
        <v>50.565586442500042</v>
      </c>
      <c r="F49" s="2">
        <v>49.997544979999944</v>
      </c>
      <c r="G49" s="2">
        <v>49.451825687499934</v>
      </c>
      <c r="H49" s="2">
        <v>116.6149539874997</v>
      </c>
      <c r="I49" s="11"/>
      <c r="K49" s="1" t="s">
        <v>43</v>
      </c>
      <c r="L49" s="23">
        <v>-0.23438434072998512</v>
      </c>
      <c r="M49" s="23">
        <v>-0.316147262177146</v>
      </c>
      <c r="N49" s="23">
        <v>-0.32306671863099007</v>
      </c>
      <c r="O49" s="23">
        <v>-0.32849680856809754</v>
      </c>
      <c r="P49" s="23">
        <v>0.20821125011358158</v>
      </c>
    </row>
    <row r="50" spans="2:45" x14ac:dyDescent="0.25">
      <c r="B50" s="1"/>
      <c r="C50" s="1"/>
      <c r="D50" s="8">
        <f>(D49-$C$49)/$C$49</f>
        <v>-0.32399233457415472</v>
      </c>
      <c r="E50" s="8">
        <f t="shared" ref="E50:H50" si="50">(E49-$C$49)/$C$49</f>
        <v>-0.41505763422271297</v>
      </c>
      <c r="F50" s="8">
        <f t="shared" si="50"/>
        <v>-0.42162873406177515</v>
      </c>
      <c r="G50" s="8">
        <f t="shared" si="50"/>
        <v>-0.42794161118757007</v>
      </c>
      <c r="H50" s="8">
        <f t="shared" si="50"/>
        <v>0.34900100779064536</v>
      </c>
      <c r="I50" s="11">
        <f t="shared" si="49"/>
        <v>-0.10394927661341535</v>
      </c>
      <c r="K50" s="1" t="s">
        <v>44</v>
      </c>
      <c r="L50" s="23">
        <v>-0.23619178980944633</v>
      </c>
      <c r="M50" s="23">
        <v>-0.31770656110803391</v>
      </c>
      <c r="N50" s="23">
        <v>-0.32380673034486018</v>
      </c>
      <c r="O50" s="23">
        <v>-0.33014228246104216</v>
      </c>
      <c r="P50" s="23">
        <v>0.18598676099271022</v>
      </c>
    </row>
    <row r="51" spans="2:45" x14ac:dyDescent="0.25">
      <c r="B51" s="1" t="s">
        <v>36</v>
      </c>
      <c r="C51" s="2">
        <v>110.92579766</v>
      </c>
      <c r="D51" s="2">
        <v>78.609476167499906</v>
      </c>
      <c r="E51" s="2">
        <v>67.700476657499905</v>
      </c>
      <c r="F51" s="2">
        <v>66.894446909999701</v>
      </c>
      <c r="G51" s="2">
        <v>66.084369992499987</v>
      </c>
      <c r="H51" s="2">
        <v>138.55172980749958</v>
      </c>
      <c r="I51" s="11"/>
      <c r="K51" s="1" t="s">
        <v>45</v>
      </c>
      <c r="L51" s="23">
        <v>-0.23104052668894376</v>
      </c>
      <c r="M51" s="23">
        <v>-0.31260446572067019</v>
      </c>
      <c r="N51" s="23">
        <v>-0.31876159948765476</v>
      </c>
      <c r="O51" s="23">
        <v>-0.32575837077535791</v>
      </c>
      <c r="P51" s="23">
        <v>0.16813276813867511</v>
      </c>
    </row>
    <row r="52" spans="2:45" x14ac:dyDescent="0.25">
      <c r="B52" s="1"/>
      <c r="C52" s="1"/>
      <c r="D52" s="8">
        <f>(D51-$C$51)/$C$51</f>
        <v>-0.29133278438576787</v>
      </c>
      <c r="E52" s="8">
        <f t="shared" ref="E52:H52" si="51">(E51-$C$51)/$C$51</f>
        <v>-0.38967780186706924</v>
      </c>
      <c r="F52" s="8">
        <f t="shared" si="51"/>
        <v>-0.39694418862744013</v>
      </c>
      <c r="G52" s="8">
        <f t="shared" si="51"/>
        <v>-0.40424706076889361</v>
      </c>
      <c r="H52" s="8">
        <f t="shared" si="51"/>
        <v>0.24904875809120761</v>
      </c>
      <c r="I52" s="11">
        <f t="shared" si="49"/>
        <v>-0.11291427638312573</v>
      </c>
      <c r="AS52" s="1"/>
    </row>
    <row r="53" spans="2:45" x14ac:dyDescent="0.25">
      <c r="B53" s="1" t="s">
        <v>20</v>
      </c>
      <c r="C53" s="2">
        <v>136.89607932017901</v>
      </c>
      <c r="D53" s="2">
        <v>103.87579612694029</v>
      </c>
      <c r="E53" s="2">
        <v>91.600919555484211</v>
      </c>
      <c r="F53" s="2">
        <v>90.848729742124107</v>
      </c>
      <c r="G53" s="2">
        <v>89.906983978229505</v>
      </c>
      <c r="H53" s="2">
        <v>168.0905546270013</v>
      </c>
      <c r="I53" s="11"/>
      <c r="K53" s="24" t="s">
        <v>58</v>
      </c>
      <c r="L53" s="14"/>
      <c r="M53" s="14"/>
      <c r="N53" s="14"/>
      <c r="O53" s="14"/>
      <c r="P53" s="11"/>
    </row>
    <row r="54" spans="2:45" x14ac:dyDescent="0.25">
      <c r="B54" s="1"/>
      <c r="C54" s="2"/>
      <c r="D54" s="8">
        <f>(D53-$C$53)/$C$53</f>
        <v>-0.24120693125191212</v>
      </c>
      <c r="E54" s="8">
        <f>(E53-$C$53)/$C$53</f>
        <v>-0.33087258590332852</v>
      </c>
      <c r="F54" s="8">
        <f t="shared" ref="F54:H54" si="52">(F53-$C$53)/$C$53</f>
        <v>-0.33636719040256213</v>
      </c>
      <c r="G54" s="8">
        <f t="shared" si="52"/>
        <v>-0.34324646531365732</v>
      </c>
      <c r="H54" s="8">
        <f t="shared" si="52"/>
        <v>0.22786974953360917</v>
      </c>
      <c r="I54" s="11">
        <f t="shared" si="49"/>
        <v>-0.10203953406174521</v>
      </c>
      <c r="K54" s="7" t="s">
        <v>11</v>
      </c>
      <c r="L54" s="4" t="s">
        <v>53</v>
      </c>
      <c r="M54" s="4" t="s">
        <v>54</v>
      </c>
      <c r="N54" s="4" t="s">
        <v>55</v>
      </c>
      <c r="O54" s="4" t="s">
        <v>56</v>
      </c>
      <c r="P54" s="4" t="s">
        <v>57</v>
      </c>
    </row>
    <row r="55" spans="2:45" x14ac:dyDescent="0.25">
      <c r="B55" s="1" t="s">
        <v>21</v>
      </c>
      <c r="C55" s="2">
        <v>180.81925944757057</v>
      </c>
      <c r="D55" s="2">
        <v>138.43805653066761</v>
      </c>
      <c r="E55" s="2">
        <v>123.6537456243221</v>
      </c>
      <c r="F55" s="2">
        <v>122.4025746325583</v>
      </c>
      <c r="G55" s="2">
        <v>121.42070979139682</v>
      </c>
      <c r="H55" s="2">
        <v>218.46786350176129</v>
      </c>
      <c r="I55" s="11"/>
      <c r="K55" s="1" t="s">
        <v>38</v>
      </c>
      <c r="L55" s="23">
        <v>-0.32321397826385573</v>
      </c>
      <c r="M55" s="23">
        <v>-0.37475092327493403</v>
      </c>
      <c r="N55" s="23">
        <v>-0.3775933489823306</v>
      </c>
      <c r="O55" s="23">
        <v>-0.38121153996078849</v>
      </c>
      <c r="P55" s="23">
        <v>0.63100005036664208</v>
      </c>
    </row>
    <row r="56" spans="2:45" x14ac:dyDescent="0.25">
      <c r="B56" s="1"/>
      <c r="C56" s="2"/>
      <c r="D56" s="8">
        <f>(D55-$C$55)/$C$55</f>
        <v>-0.23438434072998512</v>
      </c>
      <c r="E56" s="8">
        <f>(E55-$C$55)/$C$55</f>
        <v>-0.316147262177146</v>
      </c>
      <c r="F56" s="8">
        <f t="shared" ref="F56:H56" si="53">(F55-$C$55)/$C$55</f>
        <v>-0.32306671863099007</v>
      </c>
      <c r="G56" s="8">
        <f t="shared" si="53"/>
        <v>-0.32849680856809754</v>
      </c>
      <c r="H56" s="8">
        <f t="shared" si="53"/>
        <v>0.20821125011358158</v>
      </c>
      <c r="I56" s="11">
        <f t="shared" si="49"/>
        <v>-9.4112467838112418E-2</v>
      </c>
      <c r="K56" s="1" t="s">
        <v>39</v>
      </c>
      <c r="L56" s="23">
        <v>-0.33696774438581384</v>
      </c>
      <c r="M56" s="23">
        <v>-0.42443521773843645</v>
      </c>
      <c r="N56" s="23">
        <v>-0.43007834124737526</v>
      </c>
      <c r="O56" s="23">
        <v>-0.43594129597105696</v>
      </c>
      <c r="P56" s="23">
        <v>0.43393559423558026</v>
      </c>
      <c r="AP56" s="2"/>
    </row>
    <row r="57" spans="2:45" x14ac:dyDescent="0.25">
      <c r="B57" s="1" t="s">
        <v>22</v>
      </c>
      <c r="C57" s="2">
        <v>203.1244699306294</v>
      </c>
      <c r="D57" s="2">
        <v>155.14813782361898</v>
      </c>
      <c r="E57" s="2">
        <v>138.5904931120769</v>
      </c>
      <c r="F57" s="2">
        <v>137.35139946935942</v>
      </c>
      <c r="G57" s="2">
        <v>136.06449380404209</v>
      </c>
      <c r="H57" s="2">
        <v>240.90293217138833</v>
      </c>
      <c r="I57" s="11"/>
      <c r="K57" s="1" t="s">
        <v>40</v>
      </c>
      <c r="L57" s="23">
        <v>-0.32399233457415472</v>
      </c>
      <c r="M57" s="23">
        <v>-0.41505763422271297</v>
      </c>
      <c r="N57" s="23">
        <v>-0.42162873406177515</v>
      </c>
      <c r="O57" s="23">
        <v>-0.42794161118757007</v>
      </c>
      <c r="P57" s="23">
        <v>0.34900100779064536</v>
      </c>
    </row>
    <row r="58" spans="2:45" x14ac:dyDescent="0.25">
      <c r="B58" s="1"/>
      <c r="C58" s="2"/>
      <c r="D58" s="8">
        <f>(D57-$C$57)/$C$57</f>
        <v>-0.23619178980944633</v>
      </c>
      <c r="E58" s="8">
        <f>(E57-$C$57)/$C$57</f>
        <v>-0.31770656110803391</v>
      </c>
      <c r="F58" s="8">
        <f t="shared" ref="F58:H58" si="54">(F57-$C$57)/$C$57</f>
        <v>-0.32380673034486018</v>
      </c>
      <c r="G58" s="8">
        <f t="shared" si="54"/>
        <v>-0.33014228246104216</v>
      </c>
      <c r="H58" s="8">
        <f t="shared" si="54"/>
        <v>0.18598676099271022</v>
      </c>
      <c r="I58" s="11">
        <f t="shared" si="49"/>
        <v>-9.3950492651595829E-2</v>
      </c>
      <c r="K58" s="1" t="s">
        <v>41</v>
      </c>
      <c r="L58" s="23">
        <v>-0.29133278438576787</v>
      </c>
      <c r="M58" s="23">
        <v>-0.38967780186706924</v>
      </c>
      <c r="N58" s="23">
        <v>-0.39694418862744013</v>
      </c>
      <c r="O58" s="23">
        <v>-0.40424706076889361</v>
      </c>
      <c r="P58" s="23">
        <v>0.24904875809120761</v>
      </c>
    </row>
    <row r="59" spans="2:45" x14ac:dyDescent="0.25">
      <c r="B59" s="1" t="s">
        <v>23</v>
      </c>
      <c r="C59" s="2">
        <v>232.58172647865823</v>
      </c>
      <c r="D59" s="2">
        <v>178.84592189480517</v>
      </c>
      <c r="E59" s="2">
        <v>159.87564013640622</v>
      </c>
      <c r="F59" s="2">
        <v>158.4436033347209</v>
      </c>
      <c r="G59" s="2">
        <v>156.81628218885061</v>
      </c>
      <c r="H59" s="2">
        <v>271.68633596998723</v>
      </c>
      <c r="I59" s="11"/>
      <c r="K59" s="1" t="s">
        <v>42</v>
      </c>
      <c r="L59" s="23">
        <v>-0.24120693125191212</v>
      </c>
      <c r="M59" s="23">
        <v>-0.33087258590332852</v>
      </c>
      <c r="N59" s="23">
        <v>-0.33636719040256213</v>
      </c>
      <c r="O59" s="23">
        <v>-0.34324646531365732</v>
      </c>
      <c r="P59" s="23">
        <v>0.22786974953360917</v>
      </c>
    </row>
    <row r="60" spans="2:45" x14ac:dyDescent="0.25">
      <c r="B60" s="1"/>
      <c r="C60" s="11"/>
      <c r="D60" s="8">
        <f>(D59-$C$59)/$C$59</f>
        <v>-0.23104052668894376</v>
      </c>
      <c r="E60" s="8">
        <f>(E59-$C$59)/$C$59</f>
        <v>-0.31260446572067019</v>
      </c>
      <c r="F60" s="8">
        <f>(F59-$C$59)/$C$59</f>
        <v>-0.31876159948765476</v>
      </c>
      <c r="G60" s="8">
        <f t="shared" ref="G60:H60" si="55">(G59-$C$59)/$C$59</f>
        <v>-0.32575837077535791</v>
      </c>
      <c r="H60" s="8">
        <f t="shared" si="55"/>
        <v>0.16813276813867511</v>
      </c>
      <c r="I60" s="11">
        <f t="shared" si="49"/>
        <v>-9.4717844086414149E-2</v>
      </c>
      <c r="K60" s="1" t="s">
        <v>43</v>
      </c>
      <c r="L60" s="23">
        <v>-0.23438434072998512</v>
      </c>
      <c r="M60" s="23">
        <v>-0.316147262177146</v>
      </c>
      <c r="N60" s="23">
        <v>-0.32306671863099007</v>
      </c>
      <c r="O60" s="23">
        <v>-0.32849680856809754</v>
      </c>
      <c r="P60" s="23">
        <v>0.20821125011358158</v>
      </c>
    </row>
    <row r="61" spans="2:45" x14ac:dyDescent="0.25">
      <c r="K61" s="1" t="s">
        <v>44</v>
      </c>
      <c r="L61" s="23">
        <v>-0.23619178980944633</v>
      </c>
      <c r="M61" s="23">
        <v>-0.31770656110803391</v>
      </c>
      <c r="N61" s="23">
        <v>-0.32380673034486018</v>
      </c>
      <c r="O61" s="23">
        <v>-0.33014228246104216</v>
      </c>
      <c r="P61" s="23">
        <v>0.18598676099271022</v>
      </c>
    </row>
    <row r="62" spans="2:45" x14ac:dyDescent="0.25">
      <c r="K62" s="1" t="s">
        <v>45</v>
      </c>
      <c r="L62" s="23">
        <v>-0.23104052668894376</v>
      </c>
      <c r="M62" s="23">
        <v>-0.31260446572067019</v>
      </c>
      <c r="N62" s="23">
        <v>-0.31876159948765476</v>
      </c>
      <c r="O62" s="23">
        <v>-0.32575837077535791</v>
      </c>
      <c r="P62" s="23">
        <v>0.16813276813867511</v>
      </c>
    </row>
    <row r="68" spans="13:29" x14ac:dyDescent="0.25">
      <c r="U68" s="7"/>
      <c r="V68" s="1" t="s">
        <v>33</v>
      </c>
      <c r="W68" s="1" t="s">
        <v>34</v>
      </c>
      <c r="X68" s="1" t="s">
        <v>35</v>
      </c>
      <c r="Y68" s="1" t="s">
        <v>36</v>
      </c>
      <c r="Z68" s="1" t="s">
        <v>20</v>
      </c>
      <c r="AA68" s="1" t="s">
        <v>21</v>
      </c>
      <c r="AB68" s="1" t="s">
        <v>22</v>
      </c>
      <c r="AC68" s="1" t="s">
        <v>23</v>
      </c>
    </row>
    <row r="69" spans="13:29" x14ac:dyDescent="0.25">
      <c r="U69" s="4" t="s">
        <v>53</v>
      </c>
      <c r="V69" s="8">
        <v>-0.32321397826385573</v>
      </c>
      <c r="W69" s="8">
        <v>-0.33696774438581384</v>
      </c>
      <c r="X69" s="8">
        <v>-0.32399233457415472</v>
      </c>
      <c r="Y69" s="8">
        <v>-0.29133278438576787</v>
      </c>
      <c r="Z69" s="8">
        <v>-0.24120693125191212</v>
      </c>
      <c r="AA69" s="8">
        <v>-0.23438434072998512</v>
      </c>
      <c r="AB69" s="8">
        <v>-0.23619178980944633</v>
      </c>
      <c r="AC69" s="8">
        <v>-0.23104052668894376</v>
      </c>
    </row>
    <row r="70" spans="13:29" x14ac:dyDescent="0.25">
      <c r="U70" s="4" t="s">
        <v>54</v>
      </c>
      <c r="V70" s="8">
        <v>-0.37475092327493403</v>
      </c>
      <c r="W70" s="8">
        <v>-0.42443521773843645</v>
      </c>
      <c r="X70" s="8">
        <v>-0.41505763422271297</v>
      </c>
      <c r="Y70" s="8">
        <v>-0.38967780186706924</v>
      </c>
      <c r="Z70" s="8">
        <v>-0.33087258590332852</v>
      </c>
      <c r="AA70" s="8">
        <v>-0.316147262177146</v>
      </c>
      <c r="AB70" s="8">
        <v>-0.31770656110803391</v>
      </c>
      <c r="AC70" s="8">
        <v>-0.31260446572067019</v>
      </c>
    </row>
    <row r="71" spans="13:29" x14ac:dyDescent="0.25">
      <c r="U71" s="4" t="s">
        <v>55</v>
      </c>
      <c r="V71" s="8">
        <v>-0.3775933489823306</v>
      </c>
      <c r="W71" s="8">
        <v>-0.43007834124737526</v>
      </c>
      <c r="X71" s="8">
        <v>-0.42162873406177515</v>
      </c>
      <c r="Y71" s="8">
        <v>-0.39694418862744013</v>
      </c>
      <c r="Z71" s="8">
        <v>-0.33636719040256213</v>
      </c>
      <c r="AA71" s="8">
        <v>-0.32306671863099007</v>
      </c>
      <c r="AB71" s="8">
        <v>-0.32380673034486018</v>
      </c>
      <c r="AC71" s="8">
        <v>-0.31876159948765476</v>
      </c>
    </row>
    <row r="72" spans="13:29" x14ac:dyDescent="0.25">
      <c r="U72" s="4" t="s">
        <v>56</v>
      </c>
      <c r="V72" s="8">
        <v>-0.38121153996078849</v>
      </c>
      <c r="W72" s="8">
        <v>-0.43594129597105696</v>
      </c>
      <c r="X72" s="8">
        <v>-0.42794161118757007</v>
      </c>
      <c r="Y72" s="8">
        <v>-0.40424706076889361</v>
      </c>
      <c r="Z72" s="8">
        <v>-0.34324646531365732</v>
      </c>
      <c r="AA72" s="8">
        <v>-0.32849680856809754</v>
      </c>
      <c r="AB72" s="8">
        <v>-0.33014228246104216</v>
      </c>
      <c r="AC72" s="8">
        <v>-0.32575837077535791</v>
      </c>
    </row>
    <row r="73" spans="13:29" x14ac:dyDescent="0.25">
      <c r="U73" s="4" t="s">
        <v>57</v>
      </c>
      <c r="V73" s="8">
        <v>0.63100005036664208</v>
      </c>
      <c r="W73" s="8">
        <v>0.43393559423558026</v>
      </c>
      <c r="X73" s="8">
        <v>0.34900100779064536</v>
      </c>
      <c r="Y73" s="8">
        <v>0.24904875809120761</v>
      </c>
      <c r="Z73" s="8">
        <v>0.22786974953360917</v>
      </c>
      <c r="AA73" s="8">
        <v>0.20821125011358158</v>
      </c>
      <c r="AB73" s="8">
        <v>0.18598676099271022</v>
      </c>
      <c r="AC73" s="8">
        <v>0.16813276813867511</v>
      </c>
    </row>
    <row r="76" spans="13:29" x14ac:dyDescent="0.25"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3:29" x14ac:dyDescent="0.25">
      <c r="M77" s="1"/>
      <c r="N77" s="1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3:29" x14ac:dyDescent="0.25">
      <c r="M78" s="1"/>
      <c r="N78" s="1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3:29" x14ac:dyDescent="0.25">
      <c r="M79" s="1"/>
      <c r="N79" s="1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3:29" x14ac:dyDescent="0.25">
      <c r="M80" s="1"/>
      <c r="N80" s="1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3:24" x14ac:dyDescent="0.25">
      <c r="M81" s="1"/>
      <c r="N81" s="1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3:24" x14ac:dyDescent="0.25">
      <c r="M82" s="1"/>
      <c r="N82" s="1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3:24" x14ac:dyDescent="0.25">
      <c r="M83" s="1"/>
      <c r="N83" s="1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3:24" x14ac:dyDescent="0.25">
      <c r="M84" s="1"/>
      <c r="N84" s="1"/>
      <c r="O84" s="2"/>
      <c r="P84" s="2"/>
      <c r="Q84" s="2"/>
      <c r="R84" s="2"/>
      <c r="S84" s="2"/>
      <c r="T84" s="2"/>
      <c r="U84" s="2"/>
      <c r="V84" s="2"/>
      <c r="W84" s="2"/>
      <c r="X84" s="2"/>
    </row>
    <row r="87" spans="3:24" x14ac:dyDescent="0.25">
      <c r="C87" s="7"/>
      <c r="D87" s="4"/>
      <c r="E87" s="4"/>
      <c r="F87" s="4"/>
      <c r="G87" s="4"/>
      <c r="H87" s="4"/>
    </row>
    <row r="88" spans="3:24" x14ac:dyDescent="0.25">
      <c r="C88" s="1"/>
      <c r="D88" s="8"/>
      <c r="E88" s="8"/>
      <c r="F88" s="8"/>
      <c r="G88" s="8"/>
      <c r="H88" s="8"/>
    </row>
    <row r="121" spans="8:8" x14ac:dyDescent="0.25">
      <c r="H121" s="4"/>
    </row>
    <row r="126" spans="8:8" x14ac:dyDescent="0.25">
      <c r="H126" s="21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20F2-34E3-41A5-9CC6-626801C9B232}">
  <dimension ref="B1:AU105"/>
  <sheetViews>
    <sheetView topLeftCell="D32" zoomScaleNormal="100" workbookViewId="0">
      <selection activeCell="O54" sqref="B1:O54"/>
    </sheetView>
  </sheetViews>
  <sheetFormatPr defaultRowHeight="14.25" x14ac:dyDescent="0.2"/>
  <cols>
    <col min="4" max="4" width="12.125" customWidth="1"/>
  </cols>
  <sheetData>
    <row r="1" spans="2:47" ht="18" x14ac:dyDescent="0.2">
      <c r="B1" s="9" t="s">
        <v>12</v>
      </c>
    </row>
    <row r="2" spans="2:47" x14ac:dyDescent="0.2">
      <c r="B2" t="s">
        <v>73</v>
      </c>
    </row>
    <row r="3" spans="2:47" ht="15" x14ac:dyDescent="0.25">
      <c r="B3" s="1" t="s">
        <v>10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</row>
    <row r="4" spans="2:47" ht="15" x14ac:dyDescent="0.25">
      <c r="B4" s="1" t="s">
        <v>33</v>
      </c>
      <c r="C4" s="22">
        <v>14.47560552749972</v>
      </c>
      <c r="D4" s="22">
        <v>8.1865679349997436</v>
      </c>
      <c r="E4" s="22">
        <v>5.7319490899997643</v>
      </c>
      <c r="F4" s="22">
        <v>5.5629542499997395</v>
      </c>
      <c r="G4" s="22">
        <v>5.3991282224997335</v>
      </c>
      <c r="H4" s="22">
        <v>20.795259569999438</v>
      </c>
    </row>
    <row r="5" spans="2:47" ht="15" x14ac:dyDescent="0.25">
      <c r="B5" s="1" t="s">
        <v>34</v>
      </c>
      <c r="C5" s="22">
        <v>37.019222509999466</v>
      </c>
      <c r="D5" s="22">
        <v>27.392013157499832</v>
      </c>
      <c r="E5" s="22">
        <v>23.799736039999829</v>
      </c>
      <c r="F5" s="22">
        <v>23.50857257749983</v>
      </c>
      <c r="G5" s="22">
        <v>23.21937473749988</v>
      </c>
      <c r="H5" s="22">
        <v>49.991723014999721</v>
      </c>
    </row>
    <row r="6" spans="2:47" ht="15" x14ac:dyDescent="0.25">
      <c r="B6" s="1" t="s">
        <v>35</v>
      </c>
      <c r="C6" s="22">
        <v>51.084844232499584</v>
      </c>
      <c r="D6" s="22">
        <v>39.055018199999687</v>
      </c>
      <c r="E6" s="22">
        <v>35.094782702499749</v>
      </c>
      <c r="F6" s="22">
        <v>34.776108924999726</v>
      </c>
      <c r="G6" s="22">
        <v>34.458830797499736</v>
      </c>
      <c r="H6" s="22">
        <v>68.920724052499637</v>
      </c>
    </row>
    <row r="7" spans="2:47" ht="15" x14ac:dyDescent="0.25">
      <c r="B7" s="1" t="s">
        <v>36</v>
      </c>
      <c r="C7" s="22">
        <v>69.043436100000008</v>
      </c>
      <c r="D7" s="22">
        <v>53.95659335999958</v>
      </c>
      <c r="E7" s="22">
        <v>49.495802347499733</v>
      </c>
      <c r="F7" s="22">
        <v>49.142637682499817</v>
      </c>
      <c r="G7" s="22">
        <v>48.792402272499707</v>
      </c>
      <c r="H7" s="22">
        <v>90.843124179999649</v>
      </c>
    </row>
    <row r="8" spans="2:47" ht="15" x14ac:dyDescent="0.25">
      <c r="B8" s="1" t="s">
        <v>0</v>
      </c>
      <c r="C8" s="2">
        <v>97.464348482000005</v>
      </c>
      <c r="D8" s="2">
        <v>75.630217235000003</v>
      </c>
      <c r="E8" s="2">
        <v>69.279476145000004</v>
      </c>
      <c r="F8" s="2">
        <v>68.870007287000007</v>
      </c>
      <c r="G8" s="2">
        <v>68.463155262000001</v>
      </c>
      <c r="H8" s="2">
        <v>121.52771331199999</v>
      </c>
    </row>
    <row r="9" spans="2:47" ht="15" x14ac:dyDescent="0.25">
      <c r="B9" s="1" t="s">
        <v>1</v>
      </c>
      <c r="C9" s="2">
        <v>148.28103121799998</v>
      </c>
      <c r="D9" s="2">
        <v>116.486103297</v>
      </c>
      <c r="E9" s="2">
        <v>106.153180245</v>
      </c>
      <c r="F9" s="2">
        <v>105.42676770999999</v>
      </c>
      <c r="G9" s="2">
        <v>104.660834073</v>
      </c>
      <c r="H9" s="2">
        <v>174.579399825</v>
      </c>
    </row>
    <row r="10" spans="2:47" ht="15" x14ac:dyDescent="0.25">
      <c r="B10" s="1" t="s">
        <v>2</v>
      </c>
      <c r="C10" s="2">
        <v>173.029197385</v>
      </c>
      <c r="D10" s="2">
        <v>138.50483764000001</v>
      </c>
      <c r="E10" s="2">
        <v>125.65487930999998</v>
      </c>
      <c r="F10" s="2">
        <v>124.65582995500002</v>
      </c>
      <c r="G10" s="2">
        <v>123.76019579199999</v>
      </c>
      <c r="H10" s="2">
        <v>199.903874922</v>
      </c>
    </row>
    <row r="11" spans="2:47" ht="15" x14ac:dyDescent="0.25">
      <c r="B11" s="1" t="s">
        <v>3</v>
      </c>
      <c r="C11" s="2">
        <v>207.11911528499999</v>
      </c>
      <c r="D11" s="2">
        <v>169.267337277</v>
      </c>
      <c r="E11" s="2">
        <v>155.07460802</v>
      </c>
      <c r="F11" s="2">
        <v>153.960607095</v>
      </c>
      <c r="G11" s="2">
        <v>152.76367589500001</v>
      </c>
      <c r="H11" s="2">
        <v>234.88553497999999</v>
      </c>
    </row>
    <row r="15" spans="2:47" ht="15" x14ac:dyDescent="0.25">
      <c r="B15" s="19" t="s">
        <v>72</v>
      </c>
      <c r="C15" s="14"/>
      <c r="D15" s="14"/>
      <c r="E15" s="14"/>
      <c r="F15" s="14"/>
      <c r="G15" s="11"/>
      <c r="H15" s="11"/>
      <c r="I15" s="10"/>
      <c r="J15" s="19" t="s">
        <v>72</v>
      </c>
      <c r="K15" s="14"/>
      <c r="L15" s="14"/>
      <c r="M15" s="14"/>
      <c r="N15" s="14"/>
      <c r="O15" s="2"/>
      <c r="AI15" s="15" t="s">
        <v>26</v>
      </c>
      <c r="AJ15" s="16"/>
      <c r="AK15" s="16"/>
      <c r="AL15" s="17"/>
      <c r="AM15" s="17"/>
      <c r="AN15" s="17"/>
      <c r="AO15" s="17"/>
      <c r="AP15" s="17"/>
      <c r="AQ15" s="17"/>
      <c r="AR15" s="17"/>
      <c r="AS15" s="17"/>
      <c r="AT15" s="2"/>
      <c r="AU15" s="2"/>
    </row>
    <row r="16" spans="2:47" ht="15" x14ac:dyDescent="0.25">
      <c r="B16" s="10"/>
      <c r="C16" s="11"/>
      <c r="D16" s="11"/>
      <c r="E16" s="11"/>
      <c r="F16" s="11"/>
      <c r="G16" s="11"/>
      <c r="H16" s="11"/>
      <c r="I16" s="10"/>
      <c r="J16" s="10"/>
      <c r="K16" s="20" t="s">
        <v>59</v>
      </c>
      <c r="L16" s="20" t="s">
        <v>60</v>
      </c>
      <c r="M16" s="20" t="s">
        <v>61</v>
      </c>
      <c r="N16" s="20" t="s">
        <v>62</v>
      </c>
      <c r="O16" s="20" t="s">
        <v>63</v>
      </c>
      <c r="AI16" s="10"/>
      <c r="AJ16" s="1"/>
      <c r="AK16" s="1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2:47" ht="15" x14ac:dyDescent="0.25">
      <c r="B17" s="1" t="s">
        <v>13</v>
      </c>
      <c r="C17" s="1" t="s">
        <v>25</v>
      </c>
      <c r="D17" s="20" t="s">
        <v>59</v>
      </c>
      <c r="E17" s="20" t="s">
        <v>60</v>
      </c>
      <c r="F17" s="20" t="s">
        <v>61</v>
      </c>
      <c r="G17" s="20" t="s">
        <v>62</v>
      </c>
      <c r="H17" s="20" t="s">
        <v>63</v>
      </c>
      <c r="I17" s="10"/>
      <c r="J17" s="1" t="s">
        <v>38</v>
      </c>
      <c r="K17" s="23">
        <v>-0.43445765225865768</v>
      </c>
      <c r="L17" s="23">
        <v>-0.29983490816778474</v>
      </c>
      <c r="M17" s="23">
        <v>-2.9482962487378212E-2</v>
      </c>
      <c r="N17" s="23">
        <v>-2.9449465183003034E-2</v>
      </c>
      <c r="O17" s="8">
        <v>2.8515957971399084</v>
      </c>
      <c r="AI17" s="1" t="s">
        <v>13</v>
      </c>
      <c r="AJ17" s="1" t="s">
        <v>14</v>
      </c>
      <c r="AK17" s="1"/>
      <c r="AL17" s="1" t="s">
        <v>15</v>
      </c>
      <c r="AM17" s="1"/>
      <c r="AN17" s="1" t="s">
        <v>16</v>
      </c>
      <c r="AO17" s="1"/>
      <c r="AP17" s="1" t="s">
        <v>17</v>
      </c>
      <c r="AQ17" s="1"/>
      <c r="AR17" s="1" t="s">
        <v>18</v>
      </c>
      <c r="AS17" s="1"/>
      <c r="AT17" s="1" t="s">
        <v>19</v>
      </c>
      <c r="AU17" s="2"/>
    </row>
    <row r="18" spans="2:47" ht="15" x14ac:dyDescent="0.25">
      <c r="B18" s="1" t="s">
        <v>33</v>
      </c>
      <c r="C18" s="22">
        <v>14.47560552749972</v>
      </c>
      <c r="D18" s="22">
        <v>8.1865679349997436</v>
      </c>
      <c r="E18" s="22">
        <v>5.7319490899997643</v>
      </c>
      <c r="F18" s="22">
        <v>5.5629542499997395</v>
      </c>
      <c r="G18" s="22">
        <v>5.3991282224997335</v>
      </c>
      <c r="H18" s="22">
        <v>20.795259569999438</v>
      </c>
      <c r="I18" s="10"/>
      <c r="J18" s="1" t="s">
        <v>39</v>
      </c>
      <c r="K18" s="23">
        <v>-0.26005973923139997</v>
      </c>
      <c r="L18" s="23">
        <v>-0.13114323130778913</v>
      </c>
      <c r="M18" s="23">
        <v>-1.2233894611715217E-2</v>
      </c>
      <c r="N18" s="23">
        <v>-1.2301803482391903E-2</v>
      </c>
      <c r="O18" s="8">
        <v>1.1530176234359066</v>
      </c>
      <c r="AI18" s="1" t="s">
        <v>33</v>
      </c>
      <c r="AJ18" s="22">
        <v>14.47560552749972</v>
      </c>
      <c r="AK18" s="1"/>
      <c r="AL18" s="22">
        <v>8.1865679349997436</v>
      </c>
      <c r="AM18" s="1"/>
      <c r="AN18" s="22">
        <v>5.7319490899997643</v>
      </c>
      <c r="AO18" s="1"/>
      <c r="AP18" s="22">
        <v>5.5629542499997395</v>
      </c>
      <c r="AQ18" s="1"/>
      <c r="AR18" s="22">
        <v>5.3991282224997335</v>
      </c>
      <c r="AS18" s="1"/>
      <c r="AT18" s="22">
        <v>20.795259569999438</v>
      </c>
      <c r="AU18" s="2"/>
    </row>
    <row r="19" spans="2:47" ht="15" x14ac:dyDescent="0.25">
      <c r="B19" s="1"/>
      <c r="C19" s="1"/>
      <c r="D19" s="8">
        <f>(D18-C18)/C18</f>
        <v>-0.43445765225865768</v>
      </c>
      <c r="E19" s="8">
        <f t="shared" ref="E19" si="0">(E18-D18)/D18</f>
        <v>-0.29983490816778474</v>
      </c>
      <c r="F19" s="8">
        <f t="shared" ref="F19" si="1">(F18-E18)/E18</f>
        <v>-2.9482962487378212E-2</v>
      </c>
      <c r="G19" s="8">
        <f t="shared" ref="G19" si="2">(G18-F18)/F18</f>
        <v>-2.9449465183003034E-2</v>
      </c>
      <c r="H19" s="8">
        <f t="shared" ref="H19" si="3">(H18-G18)/G18</f>
        <v>2.8515957971399084</v>
      </c>
      <c r="I19" s="10"/>
      <c r="J19" s="1" t="s">
        <v>40</v>
      </c>
      <c r="K19" s="23">
        <v>-0.23548718241655442</v>
      </c>
      <c r="L19" s="23">
        <v>-0.10140145056954471</v>
      </c>
      <c r="M19" s="23">
        <v>-9.080374715564922E-3</v>
      </c>
      <c r="N19" s="23">
        <v>-9.1234510503820452E-3</v>
      </c>
      <c r="O19" s="8">
        <v>1.0000888729370465</v>
      </c>
      <c r="AI19" s="1" t="s">
        <v>34</v>
      </c>
      <c r="AJ19" s="22">
        <v>37.019222509999466</v>
      </c>
      <c r="AK19" s="18">
        <f t="shared" ref="AK19:AK22" si="4">(AJ19-AJ18)/AJ18</f>
        <v>1.5573522599571392</v>
      </c>
      <c r="AL19" s="22">
        <v>27.392013157499832</v>
      </c>
      <c r="AM19" s="18">
        <f t="shared" ref="AM19:AM22" si="5">(AL19-AL18)/AL18</f>
        <v>2.3459702985413129</v>
      </c>
      <c r="AN19" s="22">
        <v>23.799736039999829</v>
      </c>
      <c r="AO19" s="18">
        <f t="shared" ref="AO19:AO22" si="6">(AN19-AN18)/AN18</f>
        <v>3.1521192296564529</v>
      </c>
      <c r="AP19" s="22">
        <v>23.50857257749983</v>
      </c>
      <c r="AQ19" s="18">
        <f t="shared" ref="AQ19:AQ22" si="7">(AP19-AP18)/AP18</f>
        <v>3.2259151380763078</v>
      </c>
      <c r="AR19" s="22">
        <v>23.21937473749988</v>
      </c>
      <c r="AS19" s="18">
        <f t="shared" ref="AS19:AS22" si="8">(AR19-AR18)/AR18</f>
        <v>3.300578497235537</v>
      </c>
      <c r="AT19" s="22">
        <v>49.991723014999721</v>
      </c>
      <c r="AU19" s="18">
        <f t="shared" ref="AU19:AU22" si="9">(AT19-AT18)/AT18</f>
        <v>1.4039961053008907</v>
      </c>
    </row>
    <row r="20" spans="2:47" ht="15" x14ac:dyDescent="0.25">
      <c r="B20" s="1" t="s">
        <v>34</v>
      </c>
      <c r="C20" s="22">
        <v>37.019222509999466</v>
      </c>
      <c r="D20" s="22">
        <v>27.392013157499832</v>
      </c>
      <c r="E20" s="22">
        <v>23.799736039999829</v>
      </c>
      <c r="F20" s="22">
        <v>23.50857257749983</v>
      </c>
      <c r="G20" s="22">
        <v>23.21937473749988</v>
      </c>
      <c r="H20" s="22">
        <v>49.991723014999721</v>
      </c>
      <c r="I20" s="10"/>
      <c r="J20" s="1" t="s">
        <v>41</v>
      </c>
      <c r="K20" s="23">
        <v>-0.21851233936487738</v>
      </c>
      <c r="L20" s="23">
        <v>-8.2673696293932994E-2</v>
      </c>
      <c r="M20" s="23">
        <v>-7.1352447732924984E-3</v>
      </c>
      <c r="N20" s="23">
        <v>-7.1269151701401703E-3</v>
      </c>
      <c r="O20" s="8">
        <v>0.86182930023924031</v>
      </c>
      <c r="AI20" s="1" t="s">
        <v>35</v>
      </c>
      <c r="AJ20" s="22">
        <v>51.084844232499584</v>
      </c>
      <c r="AK20" s="18">
        <f t="shared" si="4"/>
        <v>0.37995454168981468</v>
      </c>
      <c r="AL20" s="22">
        <v>39.055018199999687</v>
      </c>
      <c r="AM20" s="18">
        <f t="shared" si="5"/>
        <v>0.42578122956642078</v>
      </c>
      <c r="AN20" s="22">
        <v>35.094782702499749</v>
      </c>
      <c r="AO20" s="18">
        <f t="shared" si="6"/>
        <v>0.47458705607140012</v>
      </c>
      <c r="AP20" s="22">
        <v>34.776108924999726</v>
      </c>
      <c r="AQ20" s="18">
        <f t="shared" si="7"/>
        <v>0.47929478960726479</v>
      </c>
      <c r="AR20" s="22">
        <v>34.458830797499736</v>
      </c>
      <c r="AS20" s="18">
        <f t="shared" si="8"/>
        <v>0.48405506983130986</v>
      </c>
      <c r="AT20" s="22">
        <v>68.920724052499637</v>
      </c>
      <c r="AU20" s="18">
        <f t="shared" si="9"/>
        <v>0.37864270114915582</v>
      </c>
    </row>
    <row r="21" spans="2:47" ht="15" x14ac:dyDescent="0.25">
      <c r="B21" s="1"/>
      <c r="C21" s="1"/>
      <c r="D21" s="8">
        <f>(D20-C20)/C20</f>
        <v>-0.26005973923139997</v>
      </c>
      <c r="E21" s="8">
        <f t="shared" ref="E21" si="10">(E20-D20)/D20</f>
        <v>-0.13114323130778913</v>
      </c>
      <c r="F21" s="8">
        <f t="shared" ref="F21" si="11">(F20-E20)/E20</f>
        <v>-1.2233894611715217E-2</v>
      </c>
      <c r="G21" s="8">
        <f t="shared" ref="G21" si="12">(G20-F20)/F20</f>
        <v>-1.2301803482391903E-2</v>
      </c>
      <c r="H21" s="8">
        <f t="shared" ref="H21" si="13">(H20-G20)/G20</f>
        <v>1.1530176234359066</v>
      </c>
      <c r="I21" s="10"/>
      <c r="J21" s="1" t="s">
        <v>42</v>
      </c>
      <c r="K21" s="23">
        <v>-0.22402172268183163</v>
      </c>
      <c r="L21" s="23">
        <v>-8.397094867871166E-2</v>
      </c>
      <c r="M21" s="23">
        <v>-5.9103919484464621E-3</v>
      </c>
      <c r="N21" s="23">
        <v>-5.9075356752111771E-3</v>
      </c>
      <c r="O21" s="8">
        <v>0.77508198164295095</v>
      </c>
      <c r="AI21" s="1" t="s">
        <v>36</v>
      </c>
      <c r="AJ21" s="22">
        <v>69.043436100000008</v>
      </c>
      <c r="AK21" s="18">
        <f t="shared" si="4"/>
        <v>0.35154441864922781</v>
      </c>
      <c r="AL21" s="22">
        <v>53.95659335999958</v>
      </c>
      <c r="AM21" s="18">
        <f t="shared" si="5"/>
        <v>0.38155340457631676</v>
      </c>
      <c r="AN21" s="22">
        <v>49.495802347499733</v>
      </c>
      <c r="AO21" s="18">
        <f t="shared" si="6"/>
        <v>0.41034645426011485</v>
      </c>
      <c r="AP21" s="22">
        <v>49.142637682499817</v>
      </c>
      <c r="AQ21" s="18">
        <f t="shared" si="7"/>
        <v>0.41311489990107353</v>
      </c>
      <c r="AR21" s="22">
        <v>48.792402272499707</v>
      </c>
      <c r="AS21" s="18">
        <f t="shared" si="8"/>
        <v>0.41596221181247933</v>
      </c>
      <c r="AT21" s="22">
        <v>90.843124179999649</v>
      </c>
      <c r="AU21" s="18">
        <f t="shared" si="9"/>
        <v>0.31808139610954833</v>
      </c>
    </row>
    <row r="22" spans="2:47" ht="15" x14ac:dyDescent="0.25">
      <c r="B22" s="1" t="s">
        <v>35</v>
      </c>
      <c r="C22" s="22">
        <v>51.084844232499584</v>
      </c>
      <c r="D22" s="22">
        <v>39.055018199999687</v>
      </c>
      <c r="E22" s="22">
        <v>35.094782702499749</v>
      </c>
      <c r="F22" s="22">
        <v>34.776108924999726</v>
      </c>
      <c r="G22" s="22">
        <v>34.458830797499736</v>
      </c>
      <c r="H22" s="22">
        <v>68.920724052499637</v>
      </c>
      <c r="I22" s="10"/>
      <c r="J22" s="1" t="s">
        <v>43</v>
      </c>
      <c r="K22" s="23">
        <v>-0.21442343406862122</v>
      </c>
      <c r="L22" s="23">
        <v>-8.8705199672226606E-2</v>
      </c>
      <c r="M22" s="23">
        <v>-6.8430595609425826E-3</v>
      </c>
      <c r="N22" s="23">
        <v>-7.2650774906318069E-3</v>
      </c>
      <c r="O22" s="8">
        <v>0.66804900200998218</v>
      </c>
      <c r="AI22" s="1" t="s">
        <v>20</v>
      </c>
      <c r="AJ22" s="2">
        <v>97.464348482000005</v>
      </c>
      <c r="AK22" s="18">
        <f t="shared" si="4"/>
        <v>0.41163815110296914</v>
      </c>
      <c r="AL22" s="2">
        <v>75.630217235000003</v>
      </c>
      <c r="AM22" s="18">
        <f t="shared" si="5"/>
        <v>0.40168629124514083</v>
      </c>
      <c r="AN22" s="2">
        <v>69.279476145000004</v>
      </c>
      <c r="AO22" s="18">
        <f t="shared" si="6"/>
        <v>0.3997040730566041</v>
      </c>
      <c r="AP22" s="2">
        <v>68.870007287000007</v>
      </c>
      <c r="AQ22" s="18">
        <f t="shared" si="7"/>
        <v>0.40143082534467422</v>
      </c>
      <c r="AR22" s="2">
        <v>68.463155262000001</v>
      </c>
      <c r="AS22" s="18">
        <f t="shared" si="8"/>
        <v>0.40315196779288504</v>
      </c>
      <c r="AT22" s="2">
        <v>121.52771331199999</v>
      </c>
      <c r="AU22" s="18">
        <f t="shared" si="9"/>
        <v>0.33777558190536089</v>
      </c>
    </row>
    <row r="23" spans="2:47" ht="15" x14ac:dyDescent="0.25">
      <c r="B23" s="1"/>
      <c r="C23" s="1"/>
      <c r="D23" s="8">
        <f>(D22-C22)/C22</f>
        <v>-0.23548718241655442</v>
      </c>
      <c r="E23" s="8">
        <f t="shared" ref="E23" si="14">(E22-D22)/D22</f>
        <v>-0.10140145056954471</v>
      </c>
      <c r="F23" s="8">
        <f t="shared" ref="F23" si="15">(F22-E22)/E22</f>
        <v>-9.080374715564922E-3</v>
      </c>
      <c r="G23" s="8">
        <f t="shared" ref="G23" si="16">(G22-F22)/F22</f>
        <v>-9.1234510503820452E-3</v>
      </c>
      <c r="H23" s="8">
        <f t="shared" ref="H23" si="17">(H22-G22)/G22</f>
        <v>1.0000888729370465</v>
      </c>
      <c r="I23" s="10"/>
      <c r="J23" s="1" t="s">
        <v>44</v>
      </c>
      <c r="K23" s="23">
        <v>-0.19952909836471872</v>
      </c>
      <c r="L23" s="23">
        <v>-9.2776241963471826E-2</v>
      </c>
      <c r="M23" s="23">
        <v>-7.9507406356679466E-3</v>
      </c>
      <c r="N23" s="23">
        <v>-7.1848558011554185E-3</v>
      </c>
      <c r="O23" s="8">
        <v>0.61525176687642269</v>
      </c>
      <c r="AI23" s="1" t="s">
        <v>21</v>
      </c>
      <c r="AJ23" s="2">
        <v>148.28103121799998</v>
      </c>
      <c r="AK23" s="18">
        <f>(AJ23-AJ22)/AJ22</f>
        <v>0.52138739474962936</v>
      </c>
      <c r="AL23" s="2">
        <v>116.486103297</v>
      </c>
      <c r="AM23" s="18">
        <f>(AL23-AL22)/AL22</f>
        <v>0.54020585363455476</v>
      </c>
      <c r="AN23" s="2">
        <v>106.153180245</v>
      </c>
      <c r="AO23" s="18">
        <f>(AN23-AN22)/AN22</f>
        <v>0.53224571188766445</v>
      </c>
      <c r="AP23" s="2">
        <v>105.42676770999999</v>
      </c>
      <c r="AQ23" s="18">
        <f>(AP23-AP22)/AP22</f>
        <v>0.53080813932047444</v>
      </c>
      <c r="AR23" s="2">
        <v>104.660834073</v>
      </c>
      <c r="AS23" s="18">
        <f>(AR23-AR22)/AR22</f>
        <v>0.52871765364123191</v>
      </c>
      <c r="AT23" s="2">
        <v>174.579399825</v>
      </c>
      <c r="AU23" s="18">
        <f>(AT23-AT22)/AT22</f>
        <v>0.43653982344586362</v>
      </c>
    </row>
    <row r="24" spans="2:47" ht="15" x14ac:dyDescent="0.25">
      <c r="B24" s="1" t="s">
        <v>36</v>
      </c>
      <c r="C24" s="22">
        <v>69.043436100000008</v>
      </c>
      <c r="D24" s="22">
        <v>53.95659335999958</v>
      </c>
      <c r="E24" s="22">
        <v>49.495802347499733</v>
      </c>
      <c r="F24" s="22">
        <v>49.142637682499817</v>
      </c>
      <c r="G24" s="22">
        <v>48.792402272499707</v>
      </c>
      <c r="H24" s="22">
        <v>90.843124179999649</v>
      </c>
      <c r="I24" s="10"/>
      <c r="J24" s="1" t="s">
        <v>45</v>
      </c>
      <c r="K24" s="23">
        <v>-0.18275366788775244</v>
      </c>
      <c r="L24" s="23">
        <v>-8.3848009222086947E-2</v>
      </c>
      <c r="M24" s="23">
        <v>-7.1836449514437999E-3</v>
      </c>
      <c r="N24" s="23">
        <v>-7.7742691626400181E-3</v>
      </c>
      <c r="O24" s="8">
        <v>0.53757451569472114</v>
      </c>
      <c r="AI24" s="1" t="s">
        <v>22</v>
      </c>
      <c r="AJ24" s="2">
        <v>173.029197385</v>
      </c>
      <c r="AK24" s="18">
        <f t="shared" ref="AK24:AM25" si="18">(AJ24-AJ23)/AJ23</f>
        <v>0.16690041850744708</v>
      </c>
      <c r="AL24" s="2">
        <v>138.50483764000001</v>
      </c>
      <c r="AM24" s="18">
        <f t="shared" si="18"/>
        <v>0.18902455932326717</v>
      </c>
      <c r="AN24" s="2">
        <v>125.65487930999998</v>
      </c>
      <c r="AO24" s="18">
        <f t="shared" ref="AO24:AO25" si="19">(AN24-AN23)/AN23</f>
        <v>0.18371281029913888</v>
      </c>
      <c r="AP24" s="2">
        <v>124.65582995500002</v>
      </c>
      <c r="AQ24" s="18">
        <f t="shared" ref="AQ24:AQ25" si="20">(AP24-AP23)/AP23</f>
        <v>0.1823925997417836</v>
      </c>
      <c r="AR24" s="2">
        <v>123.76019579199999</v>
      </c>
      <c r="AS24" s="18">
        <f t="shared" ref="AS24:AS25" si="21">(AR24-AR23)/AR23</f>
        <v>0.18248814743515565</v>
      </c>
      <c r="AT24" s="2">
        <v>199.903874922</v>
      </c>
      <c r="AU24" s="18">
        <f t="shared" ref="AU24:AU25" si="22">(AT24-AT23)/AT23</f>
        <v>0.14505992758816613</v>
      </c>
    </row>
    <row r="25" spans="2:47" ht="15" x14ac:dyDescent="0.25">
      <c r="B25" s="1"/>
      <c r="C25" s="1"/>
      <c r="D25" s="8">
        <f>(D24-C24)/C24</f>
        <v>-0.21851233936487738</v>
      </c>
      <c r="E25" s="8">
        <f t="shared" ref="E25" si="23">(E24-D24)/D24</f>
        <v>-8.2673696293932994E-2</v>
      </c>
      <c r="F25" s="8">
        <f t="shared" ref="F25" si="24">(F24-E24)/E24</f>
        <v>-7.1352447732924984E-3</v>
      </c>
      <c r="G25" s="8">
        <f t="shared" ref="G25" si="25">(G24-F24)/F24</f>
        <v>-7.1269151701401703E-3</v>
      </c>
      <c r="H25" s="8">
        <f t="shared" ref="H25" si="26">(H24-G24)/G24</f>
        <v>0.86182930023924031</v>
      </c>
      <c r="I25" s="10"/>
      <c r="AI25" s="1" t="s">
        <v>23</v>
      </c>
      <c r="AJ25" s="2">
        <v>207.11911528499999</v>
      </c>
      <c r="AK25" s="18">
        <f t="shared" si="18"/>
        <v>0.19701829757753511</v>
      </c>
      <c r="AL25" s="2">
        <v>169.267337277</v>
      </c>
      <c r="AM25" s="18">
        <f t="shared" si="18"/>
        <v>0.22210415290300173</v>
      </c>
      <c r="AN25" s="2">
        <v>155.07460802</v>
      </c>
      <c r="AO25" s="18">
        <f t="shared" si="19"/>
        <v>0.23413120820735775</v>
      </c>
      <c r="AP25" s="2">
        <v>153.960607095</v>
      </c>
      <c r="AQ25" s="18">
        <f t="shared" si="20"/>
        <v>0.23508549219542182</v>
      </c>
      <c r="AR25" s="2">
        <v>152.76367589500001</v>
      </c>
      <c r="AS25" s="18">
        <f t="shared" si="21"/>
        <v>0.23435224805029628</v>
      </c>
      <c r="AT25" s="2">
        <v>234.88553497999999</v>
      </c>
      <c r="AU25" s="18">
        <f t="shared" si="22"/>
        <v>0.17499240608342082</v>
      </c>
    </row>
    <row r="26" spans="2:47" ht="15" x14ac:dyDescent="0.25">
      <c r="B26" s="1" t="s">
        <v>20</v>
      </c>
      <c r="C26" s="2">
        <v>97.464348482000005</v>
      </c>
      <c r="D26" s="2">
        <v>75.630217235000003</v>
      </c>
      <c r="E26" s="2">
        <v>69.279476145000004</v>
      </c>
      <c r="F26" s="2">
        <v>68.870007287000007</v>
      </c>
      <c r="G26" s="2">
        <v>68.463155262000001</v>
      </c>
      <c r="H26" s="2">
        <v>121.52771331199999</v>
      </c>
      <c r="I26" s="10"/>
    </row>
    <row r="27" spans="2:47" ht="15" x14ac:dyDescent="0.25">
      <c r="B27" s="1"/>
      <c r="C27" s="2"/>
      <c r="D27" s="8">
        <f>(D26-C26)/C26</f>
        <v>-0.22402172268183163</v>
      </c>
      <c r="E27" s="8">
        <f t="shared" ref="E27:H27" si="27">(E26-D26)/D26</f>
        <v>-8.397094867871166E-2</v>
      </c>
      <c r="F27" s="8">
        <f t="shared" si="27"/>
        <v>-5.9103919484464621E-3</v>
      </c>
      <c r="G27" s="8">
        <f t="shared" si="27"/>
        <v>-5.9075356752111771E-3</v>
      </c>
      <c r="H27" s="8">
        <f t="shared" si="27"/>
        <v>0.77508198164295095</v>
      </c>
      <c r="I27" s="10"/>
    </row>
    <row r="28" spans="2:47" ht="15" x14ac:dyDescent="0.25">
      <c r="B28" s="1" t="s">
        <v>21</v>
      </c>
      <c r="C28" s="2">
        <v>148.28103121799998</v>
      </c>
      <c r="D28" s="2">
        <v>116.486103297</v>
      </c>
      <c r="E28" s="2">
        <v>106.153180245</v>
      </c>
      <c r="F28" s="2">
        <v>105.42676770999999</v>
      </c>
      <c r="G28" s="2">
        <v>104.660834073</v>
      </c>
      <c r="H28" s="2">
        <v>174.579399825</v>
      </c>
      <c r="I28" s="10"/>
    </row>
    <row r="29" spans="2:47" ht="15" x14ac:dyDescent="0.25">
      <c r="B29" s="1"/>
      <c r="C29" s="2"/>
      <c r="D29" s="8">
        <f>(D28-C28)/C28</f>
        <v>-0.21442343406862122</v>
      </c>
      <c r="E29" s="8">
        <f t="shared" ref="E29:H29" si="28">(E28-D28)/D28</f>
        <v>-8.8705199672226606E-2</v>
      </c>
      <c r="F29" s="8">
        <f t="shared" si="28"/>
        <v>-6.8430595609425826E-3</v>
      </c>
      <c r="G29" s="8">
        <f t="shared" si="28"/>
        <v>-7.2650774906318069E-3</v>
      </c>
      <c r="H29" s="8">
        <f t="shared" si="28"/>
        <v>0.66804900200998218</v>
      </c>
      <c r="I29" s="10"/>
    </row>
    <row r="30" spans="2:47" ht="15" x14ac:dyDescent="0.25">
      <c r="B30" s="1" t="s">
        <v>22</v>
      </c>
      <c r="C30" s="2">
        <v>173.029197385</v>
      </c>
      <c r="D30" s="2">
        <v>138.50483764000001</v>
      </c>
      <c r="E30" s="2">
        <v>125.65487930999998</v>
      </c>
      <c r="F30" s="2">
        <v>124.65582995500002</v>
      </c>
      <c r="G30" s="2">
        <v>123.76019579199999</v>
      </c>
      <c r="H30" s="2">
        <v>199.903874922</v>
      </c>
      <c r="I30" s="10"/>
      <c r="AI30" s="10"/>
      <c r="AJ30" s="10"/>
      <c r="AK30" s="10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2:47" ht="15" x14ac:dyDescent="0.25">
      <c r="B31" s="1"/>
      <c r="C31" s="2"/>
      <c r="D31" s="8">
        <f>(D30-C30)/C30</f>
        <v>-0.19952909836471872</v>
      </c>
      <c r="E31" s="8">
        <f t="shared" ref="E31:H31" si="29">(E30-D30)/D30</f>
        <v>-9.2776241963471826E-2</v>
      </c>
      <c r="F31" s="8">
        <f t="shared" si="29"/>
        <v>-7.9507406356679466E-3</v>
      </c>
      <c r="G31" s="8">
        <f t="shared" si="29"/>
        <v>-7.1848558011554185E-3</v>
      </c>
      <c r="H31" s="8">
        <f t="shared" si="29"/>
        <v>0.61525176687642269</v>
      </c>
      <c r="I31" s="10"/>
      <c r="AI31" s="10"/>
      <c r="AJ31" s="10"/>
      <c r="AK31" s="10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2:47" ht="15" x14ac:dyDescent="0.25">
      <c r="B32" s="1" t="s">
        <v>23</v>
      </c>
      <c r="C32" s="2">
        <v>207.11911528499999</v>
      </c>
      <c r="D32" s="2">
        <v>169.267337277</v>
      </c>
      <c r="E32" s="2">
        <v>155.07460802</v>
      </c>
      <c r="F32" s="2">
        <v>153.960607095</v>
      </c>
      <c r="G32" s="2">
        <v>152.76367589500001</v>
      </c>
      <c r="H32" s="2">
        <v>234.88553497999999</v>
      </c>
      <c r="I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</row>
    <row r="33" spans="2:47" ht="15" x14ac:dyDescent="0.25">
      <c r="B33" s="10"/>
      <c r="C33" s="11"/>
      <c r="D33" s="8">
        <f>(D32-C32)/C32</f>
        <v>-0.18275366788775244</v>
      </c>
      <c r="E33" s="8">
        <f t="shared" ref="E33:H33" si="30">(E32-D32)/D32</f>
        <v>-8.3848009222086947E-2</v>
      </c>
      <c r="F33" s="8">
        <f t="shared" si="30"/>
        <v>-7.1836449514437999E-3</v>
      </c>
      <c r="G33" s="8">
        <f t="shared" si="30"/>
        <v>-7.7742691626400181E-3</v>
      </c>
      <c r="H33" s="8">
        <f t="shared" si="30"/>
        <v>0.53757451569472114</v>
      </c>
      <c r="I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</row>
    <row r="34" spans="2:47" ht="15" x14ac:dyDescent="0.25">
      <c r="B34" s="10"/>
      <c r="C34" s="11"/>
      <c r="D34" s="11"/>
      <c r="E34" s="11"/>
      <c r="F34" s="11"/>
      <c r="G34" s="11"/>
      <c r="H34" s="11"/>
      <c r="I34" s="10"/>
      <c r="AI34" s="10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2:47" ht="15" x14ac:dyDescent="0.25">
      <c r="B35" s="19" t="s">
        <v>71</v>
      </c>
      <c r="C35" s="14"/>
      <c r="D35" s="14"/>
      <c r="E35" s="14"/>
      <c r="F35" s="14"/>
      <c r="G35" s="11"/>
      <c r="H35" s="11"/>
      <c r="I35" s="10"/>
      <c r="J35" s="19" t="s">
        <v>72</v>
      </c>
      <c r="K35" s="14"/>
      <c r="L35" s="14"/>
      <c r="M35" s="14"/>
      <c r="N35" s="14"/>
      <c r="AI35" s="15" t="s">
        <v>27</v>
      </c>
      <c r="AJ35" s="16"/>
      <c r="AK35" s="16"/>
      <c r="AL35" s="17"/>
      <c r="AM35" s="17"/>
      <c r="AN35" s="17"/>
      <c r="AO35" s="17"/>
      <c r="AP35" s="17"/>
      <c r="AQ35" s="17"/>
      <c r="AR35" s="17"/>
      <c r="AS35" s="17"/>
      <c r="AT35" s="2"/>
      <c r="AU35" s="2"/>
    </row>
    <row r="36" spans="2:47" ht="15" x14ac:dyDescent="0.25">
      <c r="B36" s="1" t="s">
        <v>13</v>
      </c>
      <c r="C36" s="1" t="s">
        <v>25</v>
      </c>
      <c r="D36" s="4" t="s">
        <v>53</v>
      </c>
      <c r="E36" s="4" t="s">
        <v>54</v>
      </c>
      <c r="F36" s="4" t="s">
        <v>55</v>
      </c>
      <c r="G36" s="4" t="s">
        <v>56</v>
      </c>
      <c r="H36" s="4" t="s">
        <v>57</v>
      </c>
      <c r="I36" s="10"/>
      <c r="J36" s="10"/>
      <c r="K36" s="4" t="s">
        <v>53</v>
      </c>
      <c r="L36" s="4" t="s">
        <v>54</v>
      </c>
      <c r="M36" s="4" t="s">
        <v>55</v>
      </c>
      <c r="N36" s="4" t="s">
        <v>56</v>
      </c>
      <c r="O36" s="4" t="s">
        <v>57</v>
      </c>
      <c r="AI36" s="1" t="s">
        <v>13</v>
      </c>
      <c r="AJ36" s="1" t="s">
        <v>14</v>
      </c>
      <c r="AK36" s="1"/>
      <c r="AL36" s="1" t="s">
        <v>15</v>
      </c>
      <c r="AM36" s="1"/>
      <c r="AN36" s="1" t="s">
        <v>16</v>
      </c>
      <c r="AO36" s="1"/>
      <c r="AP36" s="1" t="s">
        <v>17</v>
      </c>
      <c r="AQ36" s="1"/>
      <c r="AR36" s="1" t="s">
        <v>18</v>
      </c>
      <c r="AS36" s="1"/>
      <c r="AT36" s="1" t="s">
        <v>19</v>
      </c>
      <c r="AU36" s="2"/>
    </row>
    <row r="37" spans="2:47" ht="15" x14ac:dyDescent="0.25">
      <c r="B37" s="1" t="s">
        <v>33</v>
      </c>
      <c r="C37" s="22">
        <v>14.47560552749972</v>
      </c>
      <c r="D37" s="22">
        <v>8.1865679349997436</v>
      </c>
      <c r="E37" s="22">
        <v>5.7319490899997643</v>
      </c>
      <c r="F37" s="22">
        <v>5.5629542499997395</v>
      </c>
      <c r="G37" s="22">
        <v>5.3991282224997335</v>
      </c>
      <c r="H37" s="22">
        <v>20.795259569999438</v>
      </c>
      <c r="I37" s="10"/>
      <c r="J37" s="1" t="s">
        <v>38</v>
      </c>
      <c r="K37" s="23">
        <v>-0.43445765225865768</v>
      </c>
      <c r="L37" s="23">
        <v>-0.60402699015867645</v>
      </c>
      <c r="M37" s="23">
        <v>-0.61570144755384248</v>
      </c>
      <c r="N37" s="23">
        <v>-0.62701883439398398</v>
      </c>
      <c r="O37" s="8">
        <v>0.43657268986047532</v>
      </c>
      <c r="AI37" s="1" t="s">
        <v>33</v>
      </c>
      <c r="AJ37" s="22">
        <v>14.47560552749972</v>
      </c>
      <c r="AK37" s="1"/>
      <c r="AL37" s="22">
        <v>8.1865679349997436</v>
      </c>
      <c r="AM37" s="1"/>
      <c r="AN37" s="22">
        <v>5.7319490899997643</v>
      </c>
      <c r="AO37" s="1"/>
      <c r="AP37" s="22">
        <v>5.5629542499997395</v>
      </c>
      <c r="AQ37" s="1"/>
      <c r="AR37" s="22">
        <v>5.3991282224997335</v>
      </c>
      <c r="AS37" s="1"/>
      <c r="AT37" s="22">
        <v>20.795259569999438</v>
      </c>
      <c r="AU37" s="2"/>
    </row>
    <row r="38" spans="2:47" ht="15" x14ac:dyDescent="0.25">
      <c r="B38" s="1"/>
      <c r="C38" s="1"/>
      <c r="D38" s="8">
        <f>(D37-$C$37)/$C$37</f>
        <v>-0.43445765225865768</v>
      </c>
      <c r="E38" s="8">
        <f t="shared" ref="E38:H38" si="31">(E37-$C$37)/$C$37</f>
        <v>-0.60402699015867645</v>
      </c>
      <c r="F38" s="8">
        <f t="shared" si="31"/>
        <v>-0.61570144755384248</v>
      </c>
      <c r="G38" s="8">
        <f t="shared" si="31"/>
        <v>-0.62701883439398398</v>
      </c>
      <c r="H38" s="8">
        <f t="shared" si="31"/>
        <v>0.43657268986047532</v>
      </c>
      <c r="I38" s="10"/>
      <c r="J38" s="1" t="s">
        <v>39</v>
      </c>
      <c r="K38" s="23">
        <v>-0.26005973923139997</v>
      </c>
      <c r="L38" s="23">
        <v>-0.35709789600332231</v>
      </c>
      <c r="M38" s="23">
        <v>-0.36496309258926762</v>
      </c>
      <c r="N38" s="23">
        <v>-0.37277519182830038</v>
      </c>
      <c r="O38" s="8">
        <v>0.35042606584987518</v>
      </c>
      <c r="AI38" s="1" t="s">
        <v>34</v>
      </c>
      <c r="AJ38" s="22">
        <v>37.019222509999466</v>
      </c>
      <c r="AK38" s="18">
        <f t="shared" ref="AK38:AK44" si="32">(AJ38-$AJ$37)/$AJ$37</f>
        <v>1.5573522599571392</v>
      </c>
      <c r="AL38" s="22">
        <v>27.392013157499832</v>
      </c>
      <c r="AM38" s="18">
        <f t="shared" ref="AM38:AM44" si="33">(AL38-$AL$37)/$AL$37</f>
        <v>2.3459702985413129</v>
      </c>
      <c r="AN38" s="22">
        <v>23.799736039999829</v>
      </c>
      <c r="AO38" s="18">
        <f t="shared" ref="AO38:AO44" si="34">(AN38-$AN$37)/$AN$37</f>
        <v>3.1521192296564529</v>
      </c>
      <c r="AP38" s="22">
        <v>23.50857257749983</v>
      </c>
      <c r="AQ38" s="18">
        <f t="shared" ref="AQ38:AQ44" si="35">(AP38-$AP$37)/$AP$37</f>
        <v>3.2259151380763078</v>
      </c>
      <c r="AR38" s="22">
        <v>23.21937473749988</v>
      </c>
      <c r="AS38" s="18">
        <f t="shared" ref="AS38:AS44" si="36">(AR38-$AR$37)/$AR$37</f>
        <v>3.300578497235537</v>
      </c>
      <c r="AT38" s="22">
        <v>49.991723014999721</v>
      </c>
      <c r="AU38" s="18">
        <f t="shared" ref="AU38:AU44" si="37">(AT38-$AT$37)/$AT$37</f>
        <v>1.4039961053008907</v>
      </c>
    </row>
    <row r="39" spans="2:47" ht="15" x14ac:dyDescent="0.25">
      <c r="B39" s="1" t="s">
        <v>34</v>
      </c>
      <c r="C39" s="22">
        <v>37.019222509999466</v>
      </c>
      <c r="D39" s="22">
        <v>27.392013157499832</v>
      </c>
      <c r="E39" s="22">
        <v>23.799736039999829</v>
      </c>
      <c r="F39" s="22">
        <v>23.50857257749983</v>
      </c>
      <c r="G39" s="22">
        <v>23.21937473749988</v>
      </c>
      <c r="H39" s="22">
        <v>49.991723014999721</v>
      </c>
      <c r="I39" s="10"/>
      <c r="J39" s="1" t="s">
        <v>40</v>
      </c>
      <c r="K39" s="23">
        <v>-0.23548718241655442</v>
      </c>
      <c r="L39" s="23">
        <v>-0.31300989109852551</v>
      </c>
      <c r="M39" s="23">
        <v>-0.31924801871323766</v>
      </c>
      <c r="N39" s="23">
        <v>-0.32545882609195803</v>
      </c>
      <c r="O39" s="8">
        <v>0.34914229627136795</v>
      </c>
      <c r="AI39" s="1" t="s">
        <v>35</v>
      </c>
      <c r="AJ39" s="22">
        <v>51.084844232499584</v>
      </c>
      <c r="AK39" s="18">
        <f t="shared" si="32"/>
        <v>2.5290298658285661</v>
      </c>
      <c r="AL39" s="22">
        <v>39.055018199999687</v>
      </c>
      <c r="AM39" s="18">
        <f t="shared" si="33"/>
        <v>3.7706216463469571</v>
      </c>
      <c r="AN39" s="22">
        <v>35.094782702499749</v>
      </c>
      <c r="AO39" s="18">
        <f t="shared" si="34"/>
        <v>5.1226612713165585</v>
      </c>
      <c r="AP39" s="22">
        <v>34.776108924999726</v>
      </c>
      <c r="AQ39" s="18">
        <f t="shared" si="35"/>
        <v>5.251374245078746</v>
      </c>
      <c r="AR39" s="22">
        <v>34.458830797499736</v>
      </c>
      <c r="AS39" s="18">
        <f t="shared" si="36"/>
        <v>5.3822953220299148</v>
      </c>
      <c r="AT39" s="22">
        <v>68.920724052499637</v>
      </c>
      <c r="AU39" s="18">
        <f t="shared" si="37"/>
        <v>2.3142516841640703</v>
      </c>
    </row>
    <row r="40" spans="2:47" ht="15" x14ac:dyDescent="0.25">
      <c r="B40" s="1"/>
      <c r="C40" s="1"/>
      <c r="D40" s="8">
        <f>(D39-$C$39)/$C$39</f>
        <v>-0.26005973923139997</v>
      </c>
      <c r="E40" s="8">
        <f t="shared" ref="E40:H40" si="38">(E39-$C$39)/$C$39</f>
        <v>-0.35709789600332231</v>
      </c>
      <c r="F40" s="8">
        <f t="shared" si="38"/>
        <v>-0.36496309258926762</v>
      </c>
      <c r="G40" s="8">
        <f t="shared" si="38"/>
        <v>-0.37277519182830038</v>
      </c>
      <c r="H40" s="8">
        <f t="shared" si="38"/>
        <v>0.35042606584987518</v>
      </c>
      <c r="I40" s="10"/>
      <c r="J40" s="1" t="s">
        <v>41</v>
      </c>
      <c r="K40" s="23">
        <v>-0.21851233936487738</v>
      </c>
      <c r="L40" s="23">
        <v>-0.2831208128776817</v>
      </c>
      <c r="M40" s="23">
        <v>-0.28823592135067838</v>
      </c>
      <c r="N40" s="23">
        <v>-0.29330860356036509</v>
      </c>
      <c r="O40" s="8">
        <v>0.31573874811829705</v>
      </c>
      <c r="AI40" s="1" t="s">
        <v>36</v>
      </c>
      <c r="AJ40" s="22">
        <v>69.043436100000008</v>
      </c>
      <c r="AK40" s="18">
        <f t="shared" si="32"/>
        <v>3.7696406184070312</v>
      </c>
      <c r="AL40" s="22">
        <v>53.95659335999958</v>
      </c>
      <c r="AM40" s="18">
        <f t="shared" si="33"/>
        <v>5.5908685774561118</v>
      </c>
      <c r="AN40" s="22">
        <v>49.495802347499733</v>
      </c>
      <c r="AO40" s="18">
        <f t="shared" si="34"/>
        <v>7.6350736146370357</v>
      </c>
      <c r="AP40" s="22">
        <v>49.142637682499817</v>
      </c>
      <c r="AQ40" s="18">
        <f t="shared" si="35"/>
        <v>7.8339100905786019</v>
      </c>
      <c r="AR40" s="22">
        <v>48.792402272499707</v>
      </c>
      <c r="AS40" s="18">
        <f t="shared" si="36"/>
        <v>8.0370890006219184</v>
      </c>
      <c r="AT40" s="22">
        <v>90.843124179999649</v>
      </c>
      <c r="AU40" s="18">
        <f t="shared" si="37"/>
        <v>3.3684534869213993</v>
      </c>
    </row>
    <row r="41" spans="2:47" ht="15" x14ac:dyDescent="0.25">
      <c r="B41" s="1" t="s">
        <v>35</v>
      </c>
      <c r="C41" s="22">
        <v>51.084844232499584</v>
      </c>
      <c r="D41" s="22">
        <v>39.055018199999687</v>
      </c>
      <c r="E41" s="22">
        <v>35.094782702499749</v>
      </c>
      <c r="F41" s="22">
        <v>34.776108924999726</v>
      </c>
      <c r="G41" s="22">
        <v>34.458830797499736</v>
      </c>
      <c r="H41" s="22">
        <v>68.920724052499637</v>
      </c>
      <c r="I41" s="10"/>
      <c r="J41" s="1" t="s">
        <v>42</v>
      </c>
      <c r="K41" s="23">
        <v>-0.22402172268183163</v>
      </c>
      <c r="L41" s="23">
        <v>-0.28918135478231061</v>
      </c>
      <c r="M41" s="23">
        <v>-0.2933825715798109</v>
      </c>
      <c r="N41" s="23">
        <v>-0.29755693924692911</v>
      </c>
      <c r="O41" s="8">
        <v>0.24689402027290086</v>
      </c>
      <c r="AI41" s="1" t="s">
        <v>20</v>
      </c>
      <c r="AJ41" s="2">
        <v>97.464348482000005</v>
      </c>
      <c r="AK41" s="18">
        <f t="shared" si="32"/>
        <v>5.7330066639937236</v>
      </c>
      <c r="AL41" s="2">
        <v>75.630217235000003</v>
      </c>
      <c r="AM41" s="18">
        <f t="shared" si="33"/>
        <v>8.2383301324185947</v>
      </c>
      <c r="AN41" s="2">
        <v>69.279476145000004</v>
      </c>
      <c r="AO41" s="18">
        <f t="shared" si="34"/>
        <v>11.086547709551072</v>
      </c>
      <c r="AP41" s="2">
        <v>68.870007287000007</v>
      </c>
      <c r="AQ41" s="18">
        <f t="shared" si="35"/>
        <v>11.380113909260215</v>
      </c>
      <c r="AR41" s="2">
        <v>68.463155262000001</v>
      </c>
      <c r="AS41" s="18">
        <f t="shared" si="36"/>
        <v>11.680409214342081</v>
      </c>
      <c r="AT41" s="2">
        <v>121.52771331199999</v>
      </c>
      <c r="AU41" s="18">
        <f t="shared" si="37"/>
        <v>4.8440104054927788</v>
      </c>
    </row>
    <row r="42" spans="2:47" ht="15" x14ac:dyDescent="0.25">
      <c r="B42" s="1"/>
      <c r="C42" s="1"/>
      <c r="D42" s="8">
        <f>(D41-$C$41)/$C$41</f>
        <v>-0.23548718241655442</v>
      </c>
      <c r="E42" s="8">
        <f t="shared" ref="E42:H42" si="39">(E41-$C$41)/$C$41</f>
        <v>-0.31300989109852551</v>
      </c>
      <c r="F42" s="8">
        <f t="shared" si="39"/>
        <v>-0.31924801871323766</v>
      </c>
      <c r="G42" s="8">
        <f t="shared" si="39"/>
        <v>-0.32545882609195803</v>
      </c>
      <c r="H42" s="8">
        <f t="shared" si="39"/>
        <v>0.34914229627136795</v>
      </c>
      <c r="I42" s="10"/>
      <c r="J42" s="1" t="s">
        <v>43</v>
      </c>
      <c r="K42" s="23">
        <v>-0.21442343406862122</v>
      </c>
      <c r="L42" s="23">
        <v>-0.28410816020738622</v>
      </c>
      <c r="M42" s="23">
        <v>-0.28900705070627986</v>
      </c>
      <c r="N42" s="23">
        <v>-0.2941724695781916</v>
      </c>
      <c r="O42" s="8">
        <v>0.17735490771126786</v>
      </c>
      <c r="AI42" s="1" t="s">
        <v>21</v>
      </c>
      <c r="AJ42" s="2">
        <v>148.28103121799998</v>
      </c>
      <c r="AK42" s="18">
        <f t="shared" si="32"/>
        <v>9.2435114673653054</v>
      </c>
      <c r="AL42" s="2">
        <v>116.486103297</v>
      </c>
      <c r="AM42" s="18">
        <f t="shared" si="33"/>
        <v>13.228930147759611</v>
      </c>
      <c r="AN42" s="2">
        <v>106.153180245</v>
      </c>
      <c r="AO42" s="18">
        <f t="shared" si="34"/>
        <v>17.519560899485306</v>
      </c>
      <c r="AP42" s="2">
        <v>105.42676770999999</v>
      </c>
      <c r="AQ42" s="18">
        <f t="shared" si="35"/>
        <v>17.951579138010157</v>
      </c>
      <c r="AR42" s="2">
        <v>104.660834073</v>
      </c>
      <c r="AS42" s="18">
        <f t="shared" si="36"/>
        <v>18.384765421359685</v>
      </c>
      <c r="AT42" s="2">
        <v>174.579399825</v>
      </c>
      <c r="AU42" s="18">
        <f t="shared" si="37"/>
        <v>7.3951536761223853</v>
      </c>
    </row>
    <row r="43" spans="2:47" ht="15" x14ac:dyDescent="0.25">
      <c r="B43" s="1" t="s">
        <v>36</v>
      </c>
      <c r="C43" s="22">
        <v>69.043436100000008</v>
      </c>
      <c r="D43" s="22">
        <v>53.95659335999958</v>
      </c>
      <c r="E43" s="22">
        <v>49.495802347499733</v>
      </c>
      <c r="F43" s="22">
        <v>49.142637682499817</v>
      </c>
      <c r="G43" s="22">
        <v>48.792402272499707</v>
      </c>
      <c r="H43" s="22">
        <v>90.843124179999649</v>
      </c>
      <c r="I43" s="10"/>
      <c r="J43" s="1" t="s">
        <v>44</v>
      </c>
      <c r="K43" s="23">
        <v>-0.19952909836471872</v>
      </c>
      <c r="L43" s="23">
        <v>-0.27379378041955205</v>
      </c>
      <c r="M43" s="23">
        <v>-0.27956765771944508</v>
      </c>
      <c r="N43" s="23">
        <v>-0.28474386021321951</v>
      </c>
      <c r="O43" s="8">
        <v>0.15531874355980674</v>
      </c>
      <c r="AI43" s="1" t="s">
        <v>22</v>
      </c>
      <c r="AJ43" s="2">
        <v>173.029197385</v>
      </c>
      <c r="AK43" s="18">
        <f t="shared" si="32"/>
        <v>10.953157818254409</v>
      </c>
      <c r="AL43" s="2">
        <v>138.50483764000001</v>
      </c>
      <c r="AM43" s="18">
        <f t="shared" si="33"/>
        <v>15.918547398581424</v>
      </c>
      <c r="AN43" s="2">
        <v>125.65487930999998</v>
      </c>
      <c r="AO43" s="18">
        <f t="shared" si="34"/>
        <v>20.921841477835798</v>
      </c>
      <c r="AP43" s="2">
        <v>124.65582995500002</v>
      </c>
      <c r="AQ43" s="18">
        <f t="shared" si="35"/>
        <v>21.408206926203977</v>
      </c>
      <c r="AR43" s="2">
        <v>123.76019579199999</v>
      </c>
      <c r="AS43" s="18">
        <f t="shared" si="36"/>
        <v>21.922255351568676</v>
      </c>
      <c r="AT43" s="2">
        <v>199.903874922</v>
      </c>
      <c r="AU43" s="18">
        <f t="shared" si="37"/>
        <v>8.6129540604722248</v>
      </c>
    </row>
    <row r="44" spans="2:47" ht="15" x14ac:dyDescent="0.25">
      <c r="B44" s="1"/>
      <c r="C44" s="1"/>
      <c r="D44" s="8">
        <f>(D43-$C$43)/$C$43</f>
        <v>-0.21851233936487738</v>
      </c>
      <c r="E44" s="8">
        <f t="shared" ref="E44:H44" si="40">(E43-$C$43)/$C$43</f>
        <v>-0.2831208128776817</v>
      </c>
      <c r="F44" s="8">
        <f t="shared" si="40"/>
        <v>-0.28823592135067838</v>
      </c>
      <c r="G44" s="8">
        <f t="shared" si="40"/>
        <v>-0.29330860356036509</v>
      </c>
      <c r="H44" s="8">
        <f t="shared" si="40"/>
        <v>0.31573874811829705</v>
      </c>
      <c r="I44" s="10"/>
      <c r="J44" s="1" t="s">
        <v>45</v>
      </c>
      <c r="K44" s="23">
        <v>-0.18275366788775244</v>
      </c>
      <c r="L44" s="23">
        <v>-0.25127814587941688</v>
      </c>
      <c r="M44" s="23">
        <v>-0.25665669784680584</v>
      </c>
      <c r="N44" s="23">
        <v>-0.26243564875799041</v>
      </c>
      <c r="O44" s="8">
        <v>0.13406015015462408</v>
      </c>
      <c r="AI44" s="1" t="s">
        <v>23</v>
      </c>
      <c r="AJ44" s="2">
        <v>207.11911528499999</v>
      </c>
      <c r="AK44" s="18">
        <f t="shared" si="32"/>
        <v>13.308148622282497</v>
      </c>
      <c r="AL44" s="2">
        <v>169.267337277</v>
      </c>
      <c r="AM44" s="18">
        <f t="shared" si="33"/>
        <v>19.676227036892634</v>
      </c>
      <c r="AN44" s="2">
        <v>155.07460802</v>
      </c>
      <c r="AO44" s="18">
        <f t="shared" si="34"/>
        <v>26.05442870917166</v>
      </c>
      <c r="AP44" s="2">
        <v>153.960607095</v>
      </c>
      <c r="AQ44" s="18">
        <f t="shared" si="35"/>
        <v>26.676051280667501</v>
      </c>
      <c r="AR44" s="2">
        <v>152.76367589500001</v>
      </c>
      <c r="AS44" s="18">
        <f t="shared" si="36"/>
        <v>27.294137423591728</v>
      </c>
      <c r="AT44" s="2">
        <v>234.88553497999999</v>
      </c>
      <c r="AU44" s="18">
        <f t="shared" si="37"/>
        <v>10.29514802108365</v>
      </c>
    </row>
    <row r="45" spans="2:47" ht="15" x14ac:dyDescent="0.25">
      <c r="B45" s="1" t="s">
        <v>20</v>
      </c>
      <c r="C45" s="2">
        <v>97.464348482000005</v>
      </c>
      <c r="D45" s="2">
        <v>75.630217235000003</v>
      </c>
      <c r="E45" s="2">
        <v>69.279476145000004</v>
      </c>
      <c r="F45" s="2">
        <v>68.870007287000007</v>
      </c>
      <c r="G45" s="2">
        <v>68.463155262000001</v>
      </c>
      <c r="H45" s="2">
        <v>121.52771331199999</v>
      </c>
      <c r="I45" s="10"/>
    </row>
    <row r="46" spans="2:47" ht="15" x14ac:dyDescent="0.25">
      <c r="B46" s="1"/>
      <c r="C46" s="2"/>
      <c r="D46" s="8">
        <f>(D45-$C$45)/$C$45</f>
        <v>-0.22402172268183163</v>
      </c>
      <c r="E46" s="8">
        <f>(E45-$C$45)/$C$45</f>
        <v>-0.28918135478231061</v>
      </c>
      <c r="F46" s="8">
        <f>(F45-$C$45)/$C$45</f>
        <v>-0.2933825715798109</v>
      </c>
      <c r="G46" s="8">
        <f>(G45-$C$45)/$C$45</f>
        <v>-0.29755693924692911</v>
      </c>
      <c r="H46" s="8">
        <f>(H45-$C$45)/$C$45</f>
        <v>0.24689402027290086</v>
      </c>
      <c r="I46" s="10"/>
    </row>
    <row r="47" spans="2:47" ht="15" x14ac:dyDescent="0.25">
      <c r="B47" s="1" t="s">
        <v>21</v>
      </c>
      <c r="C47" s="2">
        <v>148.28103121799998</v>
      </c>
      <c r="D47" s="2">
        <v>116.486103297</v>
      </c>
      <c r="E47" s="2">
        <v>106.153180245</v>
      </c>
      <c r="F47" s="2">
        <v>105.42676770999999</v>
      </c>
      <c r="G47" s="2">
        <v>104.660834073</v>
      </c>
      <c r="H47" s="2">
        <v>174.579399825</v>
      </c>
      <c r="I47" s="10"/>
    </row>
    <row r="48" spans="2:47" ht="15" x14ac:dyDescent="0.25">
      <c r="B48" s="1"/>
      <c r="C48" s="2"/>
      <c r="D48" s="8">
        <f>(D47-$C$47)/$C$47</f>
        <v>-0.21442343406862122</v>
      </c>
      <c r="E48" s="8">
        <f>(E47-$C$47)/$C$47</f>
        <v>-0.28410816020738622</v>
      </c>
      <c r="F48" s="8">
        <f>(F47-$C$47)/$C$47</f>
        <v>-0.28900705070627986</v>
      </c>
      <c r="G48" s="8">
        <f>(G47-$C$47)/$C$47</f>
        <v>-0.2941724695781916</v>
      </c>
      <c r="H48" s="8">
        <f>(H47-$C$47)/$C$47</f>
        <v>0.17735490771126786</v>
      </c>
      <c r="I48" s="10"/>
    </row>
    <row r="49" spans="2:22" ht="15" x14ac:dyDescent="0.25">
      <c r="B49" s="1" t="s">
        <v>22</v>
      </c>
      <c r="C49" s="2">
        <v>173.029197385</v>
      </c>
      <c r="D49" s="2">
        <v>138.50483764000001</v>
      </c>
      <c r="E49" s="2">
        <v>125.65487930999998</v>
      </c>
      <c r="F49" s="2">
        <v>124.65582995500002</v>
      </c>
      <c r="G49" s="2">
        <v>123.76019579199999</v>
      </c>
      <c r="H49" s="2">
        <v>199.903874922</v>
      </c>
      <c r="I49" s="10"/>
    </row>
    <row r="50" spans="2:22" ht="15" x14ac:dyDescent="0.25">
      <c r="B50" s="1"/>
      <c r="C50" s="2"/>
      <c r="D50" s="8">
        <f>(D49-$C$49)/$C$49</f>
        <v>-0.19952909836471872</v>
      </c>
      <c r="E50" s="8">
        <f>(E49-$C$49)/$C$49</f>
        <v>-0.27379378041955205</v>
      </c>
      <c r="F50" s="8">
        <f>(F49-$C$49)/$C$49</f>
        <v>-0.27956765771944508</v>
      </c>
      <c r="G50" s="8">
        <f>(G49-$C$49)/$C$49</f>
        <v>-0.28474386021321951</v>
      </c>
      <c r="H50" s="8">
        <f>(H49-$C$49)/$C$49</f>
        <v>0.15531874355980674</v>
      </c>
      <c r="I50" s="10"/>
      <c r="J50" s="10"/>
      <c r="K50" s="10"/>
      <c r="L50" s="10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2:22" ht="15" x14ac:dyDescent="0.25">
      <c r="B51" s="1" t="s">
        <v>23</v>
      </c>
      <c r="C51" s="2">
        <v>207.11911528499999</v>
      </c>
      <c r="D51" s="2">
        <v>169.267337277</v>
      </c>
      <c r="E51" s="2">
        <v>155.07460802</v>
      </c>
      <c r="F51" s="2">
        <v>153.960607095</v>
      </c>
      <c r="G51" s="2">
        <v>152.76367589500001</v>
      </c>
      <c r="H51" s="2">
        <v>234.88553497999999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spans="2:22" ht="15" x14ac:dyDescent="0.25">
      <c r="B52" s="10"/>
      <c r="C52" s="11"/>
      <c r="D52" s="8">
        <f>(D51-$C$51)/$C$51</f>
        <v>-0.18275366788775244</v>
      </c>
      <c r="E52" s="8">
        <f>(E51-$C$51)/$C$51</f>
        <v>-0.25127814587941688</v>
      </c>
      <c r="F52" s="8">
        <f>(F51-$C$51)/$C$51</f>
        <v>-0.25665669784680584</v>
      </c>
      <c r="G52" s="8">
        <f>(G51-$C$51)/$C$51</f>
        <v>-0.26243564875799041</v>
      </c>
      <c r="H52" s="8">
        <f>(H51-$C$51)/$C$51</f>
        <v>0.13406015015462408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spans="2:22" ht="15" x14ac:dyDescent="0.25"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spans="2:22" ht="15" x14ac:dyDescent="0.25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spans="2:22" ht="15" x14ac:dyDescent="0.25">
      <c r="F55" s="5"/>
      <c r="G55" s="5"/>
      <c r="H55" s="5"/>
      <c r="I55" s="5"/>
      <c r="J55" s="5"/>
      <c r="O55" s="5"/>
      <c r="P55" s="5"/>
      <c r="Q55" s="5"/>
      <c r="R55" s="5"/>
      <c r="S55" s="5"/>
    </row>
    <row r="57" spans="2:22" ht="15" x14ac:dyDescent="0.25">
      <c r="D57" s="1"/>
      <c r="E57" s="1"/>
      <c r="F57" s="1"/>
      <c r="G57" s="1"/>
      <c r="H57" s="1"/>
      <c r="K57" s="25"/>
      <c r="M57" s="1"/>
      <c r="O57" s="1"/>
      <c r="Q57" s="1"/>
      <c r="S57" s="1"/>
    </row>
    <row r="58" spans="2:22" ht="15" x14ac:dyDescent="0.25">
      <c r="C58" s="1"/>
      <c r="D58" s="8"/>
      <c r="E58" s="8"/>
      <c r="F58" s="8"/>
      <c r="G58" s="8"/>
      <c r="H58" s="8"/>
      <c r="K58" s="8"/>
      <c r="M58" s="8"/>
      <c r="O58" s="8"/>
      <c r="Q58" s="8"/>
      <c r="S58" s="8"/>
    </row>
    <row r="59" spans="2:22" ht="15" x14ac:dyDescent="0.25">
      <c r="C59" s="1"/>
      <c r="D59" s="8"/>
      <c r="E59" s="8"/>
      <c r="F59" s="8"/>
      <c r="G59" s="8"/>
      <c r="H59" s="8"/>
      <c r="K59" s="8"/>
      <c r="M59" s="8"/>
      <c r="O59" s="8"/>
      <c r="Q59" s="8"/>
      <c r="S59" s="8"/>
    </row>
    <row r="60" spans="2:22" ht="15" x14ac:dyDescent="0.25">
      <c r="C60" s="1"/>
      <c r="D60" s="8"/>
      <c r="E60" s="8"/>
      <c r="F60" s="8"/>
      <c r="G60" s="8"/>
      <c r="H60" s="8"/>
      <c r="K60" s="8"/>
      <c r="M60" s="8"/>
      <c r="O60" s="8"/>
      <c r="Q60" s="8"/>
      <c r="S60" s="8"/>
    </row>
    <row r="61" spans="2:22" ht="15" x14ac:dyDescent="0.25">
      <c r="C61" s="1"/>
      <c r="D61" s="8"/>
      <c r="E61" s="8"/>
      <c r="F61" s="8"/>
      <c r="G61" s="8"/>
      <c r="H61" s="8"/>
      <c r="K61" s="8"/>
      <c r="M61" s="8"/>
      <c r="O61" s="8"/>
      <c r="Q61" s="8"/>
      <c r="S61" s="8"/>
    </row>
    <row r="62" spans="2:22" ht="15" x14ac:dyDescent="0.25">
      <c r="C62" s="1"/>
      <c r="D62" s="8"/>
      <c r="E62" s="8"/>
      <c r="F62" s="8"/>
      <c r="G62" s="8"/>
      <c r="H62" s="8"/>
      <c r="K62" s="8"/>
      <c r="M62" s="8"/>
      <c r="O62" s="8"/>
      <c r="Q62" s="8"/>
      <c r="S62" s="8"/>
    </row>
    <row r="63" spans="2:22" ht="15" x14ac:dyDescent="0.25">
      <c r="C63" s="1"/>
      <c r="D63" s="8"/>
      <c r="E63" s="8"/>
      <c r="F63" s="8"/>
      <c r="G63" s="8"/>
      <c r="H63" s="8"/>
      <c r="K63" s="8"/>
      <c r="M63" s="8"/>
      <c r="O63" s="8"/>
      <c r="Q63" s="8"/>
      <c r="S63" s="8"/>
    </row>
    <row r="64" spans="2:22" ht="15" x14ac:dyDescent="0.25">
      <c r="C64" s="1"/>
      <c r="D64" s="8"/>
      <c r="E64" s="8"/>
      <c r="F64" s="8"/>
      <c r="G64" s="8"/>
      <c r="H64" s="8"/>
      <c r="K64" s="8"/>
      <c r="M64" s="8"/>
      <c r="O64" s="8"/>
      <c r="Q64" s="8"/>
      <c r="S64" s="8"/>
    </row>
    <row r="65" spans="2:19" ht="15" x14ac:dyDescent="0.25">
      <c r="C65" s="1"/>
      <c r="D65" s="8"/>
      <c r="E65" s="8"/>
      <c r="F65" s="8"/>
      <c r="G65" s="8"/>
      <c r="H65" s="8"/>
      <c r="K65" s="8"/>
      <c r="M65" s="8"/>
      <c r="O65" s="8"/>
      <c r="Q65" s="8"/>
      <c r="S65" s="8"/>
    </row>
    <row r="67" spans="2:19" ht="15" x14ac:dyDescent="0.25">
      <c r="B67" s="1"/>
    </row>
    <row r="68" spans="2:19" ht="15" x14ac:dyDescent="0.25">
      <c r="B68" s="1"/>
    </row>
    <row r="69" spans="2:19" ht="15" x14ac:dyDescent="0.25">
      <c r="B69" s="1"/>
    </row>
    <row r="70" spans="2:19" ht="15" x14ac:dyDescent="0.25">
      <c r="B70" s="1"/>
    </row>
    <row r="71" spans="2:19" ht="15" x14ac:dyDescent="0.25">
      <c r="B71" s="1"/>
    </row>
    <row r="72" spans="2:19" ht="15" x14ac:dyDescent="0.25">
      <c r="B72" s="1"/>
    </row>
    <row r="73" spans="2:19" ht="15" x14ac:dyDescent="0.25">
      <c r="B73" s="1"/>
      <c r="E73" s="6"/>
      <c r="F73" s="6"/>
      <c r="G73" s="6"/>
      <c r="H73" s="6"/>
      <c r="I73" s="6"/>
    </row>
    <row r="74" spans="2:19" ht="15" x14ac:dyDescent="0.25">
      <c r="B74" s="1"/>
      <c r="E74" s="6"/>
      <c r="F74" s="6"/>
      <c r="G74" s="6"/>
      <c r="H74" s="6"/>
      <c r="I74" s="6"/>
    </row>
    <row r="79" spans="2:19" ht="15" x14ac:dyDescent="0.25">
      <c r="D79" s="1"/>
      <c r="E79" s="4"/>
      <c r="F79" s="4"/>
      <c r="G79" s="4"/>
      <c r="H79" s="4"/>
      <c r="I79" s="4"/>
      <c r="J79" s="4"/>
    </row>
    <row r="80" spans="2:19" ht="15" x14ac:dyDescent="0.25">
      <c r="D80" s="1"/>
      <c r="E80" s="2"/>
      <c r="F80" s="2"/>
      <c r="G80" s="2"/>
      <c r="H80" s="2"/>
      <c r="I80" s="2"/>
      <c r="J80" s="2"/>
    </row>
    <row r="81" spans="4:10" ht="15" x14ac:dyDescent="0.25">
      <c r="D81" s="1"/>
      <c r="E81" s="2"/>
      <c r="F81" s="2"/>
      <c r="G81" s="2"/>
      <c r="H81" s="2"/>
      <c r="I81" s="2"/>
      <c r="J81" s="2"/>
    </row>
    <row r="82" spans="4:10" ht="15" x14ac:dyDescent="0.25">
      <c r="D82" s="1"/>
      <c r="E82" s="2"/>
      <c r="F82" s="2"/>
      <c r="G82" s="2"/>
      <c r="H82" s="2"/>
      <c r="I82" s="2"/>
      <c r="J82" s="2"/>
    </row>
    <row r="83" spans="4:10" ht="15" x14ac:dyDescent="0.25">
      <c r="D83" s="1"/>
      <c r="E83" s="2"/>
      <c r="F83" s="2"/>
      <c r="G83" s="2"/>
      <c r="H83" s="2"/>
      <c r="I83" s="2"/>
      <c r="J83" s="2"/>
    </row>
    <row r="89" spans="4:10" ht="15" x14ac:dyDescent="0.25">
      <c r="E89" s="1"/>
      <c r="F89" s="1"/>
      <c r="G89" s="1"/>
      <c r="H89" s="1"/>
      <c r="I89" s="1"/>
      <c r="J89" s="1"/>
    </row>
    <row r="90" spans="4:10" ht="15" x14ac:dyDescent="0.25">
      <c r="E90" s="2"/>
      <c r="F90" s="2"/>
      <c r="G90" s="2"/>
      <c r="H90" s="2"/>
      <c r="I90" s="2"/>
      <c r="J90" s="2"/>
    </row>
    <row r="91" spans="4:10" ht="15" x14ac:dyDescent="0.25">
      <c r="E91" s="2"/>
      <c r="F91" s="8"/>
      <c r="G91" s="8"/>
      <c r="H91" s="8"/>
      <c r="I91" s="8"/>
      <c r="J91" s="8"/>
    </row>
    <row r="92" spans="4:10" ht="15" x14ac:dyDescent="0.25">
      <c r="E92" s="2"/>
      <c r="F92" s="2"/>
      <c r="G92" s="2"/>
      <c r="H92" s="2"/>
      <c r="I92" s="2"/>
      <c r="J92" s="2"/>
    </row>
    <row r="93" spans="4:10" ht="15" x14ac:dyDescent="0.25">
      <c r="E93" s="2"/>
      <c r="F93" s="8"/>
      <c r="G93" s="8"/>
      <c r="H93" s="8"/>
      <c r="I93" s="8"/>
      <c r="J93" s="8"/>
    </row>
    <row r="94" spans="4:10" ht="15" x14ac:dyDescent="0.25">
      <c r="E94" s="2"/>
      <c r="F94" s="2"/>
      <c r="G94" s="2"/>
      <c r="H94" s="2"/>
      <c r="I94" s="2"/>
      <c r="J94" s="2"/>
    </row>
    <row r="95" spans="4:10" ht="15" x14ac:dyDescent="0.25">
      <c r="D95" s="1"/>
      <c r="E95" s="2"/>
      <c r="F95" s="8"/>
      <c r="G95" s="8"/>
      <c r="H95" s="8"/>
      <c r="I95" s="8"/>
      <c r="J95" s="8"/>
    </row>
    <row r="96" spans="4:10" ht="15" x14ac:dyDescent="0.25">
      <c r="E96" s="2"/>
      <c r="F96" s="2"/>
      <c r="G96" s="2"/>
      <c r="H96" s="2"/>
      <c r="I96" s="2"/>
      <c r="J96" s="2"/>
    </row>
    <row r="97" spans="4:10" ht="15" x14ac:dyDescent="0.25">
      <c r="D97" s="10"/>
      <c r="E97" s="11"/>
      <c r="F97" s="8"/>
      <c r="G97" s="8"/>
      <c r="H97" s="8"/>
      <c r="I97" s="8"/>
      <c r="J97" s="8"/>
    </row>
    <row r="101" spans="4:10" ht="15" x14ac:dyDescent="0.25">
      <c r="D101" s="1" t="s">
        <v>13</v>
      </c>
      <c r="E101" s="4" t="s">
        <v>28</v>
      </c>
      <c r="F101" s="4" t="s">
        <v>29</v>
      </c>
      <c r="G101" s="4" t="s">
        <v>30</v>
      </c>
      <c r="H101" s="4" t="s">
        <v>31</v>
      </c>
      <c r="I101" s="4" t="s">
        <v>32</v>
      </c>
    </row>
    <row r="102" spans="4:10" ht="15" x14ac:dyDescent="0.25">
      <c r="D102" s="1" t="s">
        <v>20</v>
      </c>
      <c r="E102" s="8">
        <v>-0.34954299533856187</v>
      </c>
      <c r="F102" s="8">
        <v>-0.47642824599181988</v>
      </c>
      <c r="G102" s="8">
        <v>-0.48648094345582282</v>
      </c>
      <c r="H102" s="8">
        <v>-0.49671911778929823</v>
      </c>
      <c r="I102" s="8">
        <v>0.32549170902849606</v>
      </c>
    </row>
    <row r="103" spans="4:10" ht="15" x14ac:dyDescent="0.25">
      <c r="D103" s="1" t="s">
        <v>21</v>
      </c>
      <c r="E103" s="8">
        <v>-0.31696694909496809</v>
      </c>
      <c r="F103" s="8">
        <v>-0.42787231149425459</v>
      </c>
      <c r="G103" s="8">
        <v>-0.43620661445100978</v>
      </c>
      <c r="H103" s="8">
        <v>-0.44442900582834982</v>
      </c>
      <c r="I103" s="8">
        <v>0.27634601919328383</v>
      </c>
    </row>
    <row r="104" spans="4:10" ht="15" x14ac:dyDescent="0.25">
      <c r="D104" s="1" t="s">
        <v>22</v>
      </c>
      <c r="E104" s="8">
        <v>-0.30740736640817912</v>
      </c>
      <c r="F104" s="8">
        <v>-0.41552726432060705</v>
      </c>
      <c r="G104" s="8">
        <v>-0.4236044072808095</v>
      </c>
      <c r="H104" s="8">
        <v>-0.43204064500608169</v>
      </c>
      <c r="I104" s="8">
        <v>0.24804640388219354</v>
      </c>
    </row>
    <row r="105" spans="4:10" ht="15" x14ac:dyDescent="0.25">
      <c r="D105" s="1" t="s">
        <v>23</v>
      </c>
      <c r="E105" s="8">
        <v>-0.29621130986127542</v>
      </c>
      <c r="F105" s="8">
        <v>-0.3992888469277005</v>
      </c>
      <c r="G105" s="8">
        <v>-0.40717021011800142</v>
      </c>
      <c r="H105" s="8">
        <v>-0.41532835279348096</v>
      </c>
      <c r="I105" s="8">
        <v>0.21701547283212128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31F3-69C1-4010-AB72-5D8D7B2C313F}">
  <dimension ref="A1:AW74"/>
  <sheetViews>
    <sheetView tabSelected="1" zoomScale="85" zoomScaleNormal="85" workbookViewId="0">
      <selection activeCell="Q36" activeCellId="1" sqref="A1:AW22 Q36"/>
    </sheetView>
  </sheetViews>
  <sheetFormatPr defaultRowHeight="15" x14ac:dyDescent="0.25"/>
  <cols>
    <col min="1" max="1" width="10.375" style="33" customWidth="1"/>
    <col min="2" max="2" width="11.375" style="33" customWidth="1"/>
    <col min="3" max="6" width="9.25" style="33" customWidth="1"/>
    <col min="7" max="7" width="10.125" style="33" customWidth="1"/>
    <col min="8" max="8" width="11.375" style="33" customWidth="1"/>
    <col min="9" max="13" width="10.125" style="33" customWidth="1"/>
    <col min="14" max="14" width="11.375" style="33" customWidth="1"/>
    <col min="15" max="25" width="10.125" style="33" customWidth="1"/>
    <col min="26" max="26" width="12.625" style="33" customWidth="1"/>
    <col min="27" max="30" width="10.375" style="33" customWidth="1"/>
    <col min="31" max="31" width="11.25" style="33" customWidth="1"/>
    <col min="32" max="32" width="12.625" style="33" customWidth="1"/>
    <col min="33" max="37" width="11.25" style="33" customWidth="1"/>
    <col min="38" max="38" width="12.625" style="33" customWidth="1"/>
    <col min="39" max="43" width="11.25" style="33" customWidth="1"/>
    <col min="44" max="44" width="13.875" style="33" bestFit="1" customWidth="1"/>
    <col min="45" max="49" width="11.625" style="33" bestFit="1" customWidth="1"/>
    <col min="50" max="16384" width="9" style="10"/>
  </cols>
  <sheetData>
    <row r="1" spans="1:49" s="31" customFormat="1" ht="14.25" x14ac:dyDescent="0.2">
      <c r="A1" s="26" t="s">
        <v>74</v>
      </c>
      <c r="B1" s="27" t="s">
        <v>75</v>
      </c>
      <c r="C1" s="27" t="s">
        <v>76</v>
      </c>
      <c r="D1" s="27" t="s">
        <v>77</v>
      </c>
      <c r="E1" s="27" t="s">
        <v>78</v>
      </c>
      <c r="F1" s="27" t="s">
        <v>79</v>
      </c>
      <c r="G1" s="27" t="s">
        <v>80</v>
      </c>
      <c r="H1" s="28" t="s">
        <v>81</v>
      </c>
      <c r="I1" s="28" t="s">
        <v>82</v>
      </c>
      <c r="J1" s="28" t="s">
        <v>83</v>
      </c>
      <c r="K1" s="28" t="s">
        <v>84</v>
      </c>
      <c r="L1" s="28" t="s">
        <v>85</v>
      </c>
      <c r="M1" s="28" t="s">
        <v>86</v>
      </c>
      <c r="N1" s="27" t="s">
        <v>87</v>
      </c>
      <c r="O1" s="27" t="s">
        <v>88</v>
      </c>
      <c r="P1" s="27" t="s">
        <v>89</v>
      </c>
      <c r="Q1" s="27" t="s">
        <v>90</v>
      </c>
      <c r="R1" s="27" t="s">
        <v>91</v>
      </c>
      <c r="S1" s="27" t="s">
        <v>92</v>
      </c>
      <c r="T1" s="28" t="s">
        <v>93</v>
      </c>
      <c r="U1" s="28" t="s">
        <v>94</v>
      </c>
      <c r="V1" s="28" t="s">
        <v>95</v>
      </c>
      <c r="W1" s="28" t="s">
        <v>96</v>
      </c>
      <c r="X1" s="28" t="s">
        <v>97</v>
      </c>
      <c r="Y1" s="28" t="s">
        <v>98</v>
      </c>
      <c r="Z1" s="29" t="s">
        <v>99</v>
      </c>
      <c r="AA1" s="29" t="s">
        <v>100</v>
      </c>
      <c r="AB1" s="29" t="s">
        <v>101</v>
      </c>
      <c r="AC1" s="29" t="s">
        <v>102</v>
      </c>
      <c r="AD1" s="29" t="s">
        <v>103</v>
      </c>
      <c r="AE1" s="29" t="s">
        <v>104</v>
      </c>
      <c r="AF1" s="30" t="s">
        <v>105</v>
      </c>
      <c r="AG1" s="30" t="s">
        <v>106</v>
      </c>
      <c r="AH1" s="30" t="s">
        <v>107</v>
      </c>
      <c r="AI1" s="30" t="s">
        <v>108</v>
      </c>
      <c r="AJ1" s="30" t="s">
        <v>109</v>
      </c>
      <c r="AK1" s="30" t="s">
        <v>110</v>
      </c>
      <c r="AL1" s="29" t="s">
        <v>111</v>
      </c>
      <c r="AM1" s="29" t="s">
        <v>112</v>
      </c>
      <c r="AN1" s="29" t="s">
        <v>113</v>
      </c>
      <c r="AO1" s="29" t="s">
        <v>114</v>
      </c>
      <c r="AP1" s="29" t="s">
        <v>115</v>
      </c>
      <c r="AQ1" s="29" t="s">
        <v>116</v>
      </c>
      <c r="AR1" s="30" t="s">
        <v>117</v>
      </c>
      <c r="AS1" s="30" t="s">
        <v>118</v>
      </c>
      <c r="AT1" s="30" t="s">
        <v>119</v>
      </c>
      <c r="AU1" s="30" t="s">
        <v>120</v>
      </c>
      <c r="AV1" s="30" t="s">
        <v>121</v>
      </c>
      <c r="AW1" s="30" t="s">
        <v>122</v>
      </c>
    </row>
    <row r="2" spans="1:49" x14ac:dyDescent="0.25">
      <c r="A2" s="32">
        <v>0</v>
      </c>
      <c r="B2" s="39">
        <v>0</v>
      </c>
      <c r="C2" s="39">
        <v>0</v>
      </c>
      <c r="D2" s="39">
        <v>0</v>
      </c>
      <c r="E2" s="39">
        <v>0</v>
      </c>
      <c r="F2" s="39">
        <v>0</v>
      </c>
      <c r="G2" s="39">
        <v>0</v>
      </c>
      <c r="H2" s="40">
        <v>0</v>
      </c>
      <c r="I2" s="40">
        <v>0</v>
      </c>
      <c r="J2" s="40">
        <v>0</v>
      </c>
      <c r="K2" s="40">
        <v>0</v>
      </c>
      <c r="L2" s="40">
        <v>0</v>
      </c>
      <c r="M2" s="40">
        <v>0</v>
      </c>
      <c r="N2" s="39">
        <v>0</v>
      </c>
      <c r="O2" s="39">
        <v>0</v>
      </c>
      <c r="P2" s="39">
        <v>0</v>
      </c>
      <c r="Q2" s="39">
        <v>0</v>
      </c>
      <c r="R2" s="39">
        <v>0</v>
      </c>
      <c r="S2" s="39">
        <v>0</v>
      </c>
      <c r="T2" s="40">
        <v>0</v>
      </c>
      <c r="U2" s="40">
        <v>0</v>
      </c>
      <c r="V2" s="40">
        <v>0</v>
      </c>
      <c r="W2" s="40">
        <v>0</v>
      </c>
      <c r="X2" s="40">
        <v>0</v>
      </c>
      <c r="Y2" s="40">
        <v>0</v>
      </c>
      <c r="Z2" s="41">
        <v>0</v>
      </c>
      <c r="AA2" s="41">
        <v>0</v>
      </c>
      <c r="AB2" s="41">
        <v>0</v>
      </c>
      <c r="AC2" s="41">
        <v>0</v>
      </c>
      <c r="AD2" s="41">
        <v>0</v>
      </c>
      <c r="AE2" s="41">
        <v>0</v>
      </c>
      <c r="AF2" s="42">
        <v>0</v>
      </c>
      <c r="AG2" s="42">
        <v>0</v>
      </c>
      <c r="AH2" s="42">
        <v>0</v>
      </c>
      <c r="AI2" s="42">
        <v>0</v>
      </c>
      <c r="AJ2" s="42">
        <v>0</v>
      </c>
      <c r="AK2" s="42">
        <v>0</v>
      </c>
      <c r="AL2" s="41">
        <v>0</v>
      </c>
      <c r="AM2" s="41">
        <v>0</v>
      </c>
      <c r="AN2" s="41">
        <v>0</v>
      </c>
      <c r="AO2" s="41">
        <v>0</v>
      </c>
      <c r="AP2" s="41">
        <v>0</v>
      </c>
      <c r="AQ2" s="41">
        <v>0</v>
      </c>
      <c r="AR2" s="42">
        <v>0</v>
      </c>
      <c r="AS2" s="42">
        <v>0</v>
      </c>
      <c r="AT2" s="42">
        <v>0</v>
      </c>
      <c r="AU2" s="42">
        <v>0</v>
      </c>
      <c r="AV2" s="42">
        <v>0</v>
      </c>
      <c r="AW2" s="42">
        <v>0</v>
      </c>
    </row>
    <row r="3" spans="1:49" x14ac:dyDescent="0.25">
      <c r="A3" s="32">
        <v>1.0416666666666666E-2</v>
      </c>
      <c r="B3" s="39">
        <v>0</v>
      </c>
      <c r="C3" s="39">
        <v>0</v>
      </c>
      <c r="D3" s="39">
        <v>0</v>
      </c>
      <c r="E3" s="39">
        <v>0</v>
      </c>
      <c r="F3" s="39">
        <v>0</v>
      </c>
      <c r="G3" s="39">
        <v>0</v>
      </c>
      <c r="H3" s="40">
        <v>0</v>
      </c>
      <c r="I3" s="40">
        <v>0</v>
      </c>
      <c r="J3" s="40">
        <v>0</v>
      </c>
      <c r="K3" s="40">
        <v>0</v>
      </c>
      <c r="L3" s="40">
        <v>0</v>
      </c>
      <c r="M3" s="40">
        <v>9.6511499999877518E-4</v>
      </c>
      <c r="N3" s="39">
        <v>0</v>
      </c>
      <c r="O3" s="39">
        <v>0</v>
      </c>
      <c r="P3" s="39">
        <v>0</v>
      </c>
      <c r="Q3" s="39">
        <v>0</v>
      </c>
      <c r="R3" s="39">
        <v>0</v>
      </c>
      <c r="S3" s="39">
        <v>8.3742974975129416E-3</v>
      </c>
      <c r="T3" s="40">
        <v>0</v>
      </c>
      <c r="U3" s="40">
        <v>0</v>
      </c>
      <c r="V3" s="40">
        <v>0</v>
      </c>
      <c r="W3" s="40">
        <v>0</v>
      </c>
      <c r="X3" s="40">
        <v>0</v>
      </c>
      <c r="Y3" s="40">
        <v>0.11271374250021379</v>
      </c>
      <c r="Z3" s="45">
        <v>3.0652119999999999E-3</v>
      </c>
      <c r="AA3" s="41">
        <v>0</v>
      </c>
      <c r="AB3" s="41">
        <v>0</v>
      </c>
      <c r="AC3" s="41">
        <v>0</v>
      </c>
      <c r="AD3" s="41">
        <v>0</v>
      </c>
      <c r="AE3" s="45">
        <v>0.36411498000000003</v>
      </c>
      <c r="AF3" s="46">
        <v>3.4843550000000002E-3</v>
      </c>
      <c r="AG3" s="42">
        <v>0</v>
      </c>
      <c r="AH3" s="42">
        <v>0</v>
      </c>
      <c r="AI3" s="42">
        <v>0</v>
      </c>
      <c r="AJ3" s="42">
        <v>3.2761349999999999E-3</v>
      </c>
      <c r="AK3" s="46">
        <v>0.78085423499999995</v>
      </c>
      <c r="AL3" s="45">
        <v>1.3979790000000001E-2</v>
      </c>
      <c r="AM3" s="45">
        <v>1.0461038000000001E-2</v>
      </c>
      <c r="AN3" s="45">
        <v>1.046104E-2</v>
      </c>
      <c r="AO3" s="45">
        <v>1.046104E-2</v>
      </c>
      <c r="AP3" s="45">
        <v>1.3919345000000001E-2</v>
      </c>
      <c r="AQ3" s="45">
        <v>0.99147615999999994</v>
      </c>
      <c r="AR3" s="46">
        <v>6.9966772999999996E-2</v>
      </c>
      <c r="AS3" s="46">
        <v>6.6164559999999997E-2</v>
      </c>
      <c r="AT3" s="46">
        <v>6.6164567999999993E-2</v>
      </c>
      <c r="AU3" s="46">
        <v>6.6164559999999997E-2</v>
      </c>
      <c r="AV3" s="46">
        <v>6.9404727999999999E-2</v>
      </c>
      <c r="AW3" s="46">
        <v>1.334259085</v>
      </c>
    </row>
    <row r="4" spans="1:49" x14ac:dyDescent="0.25">
      <c r="A4" s="32">
        <v>2.0833333333333332E-2</v>
      </c>
      <c r="B4" s="43">
        <v>4.0657474999999006E-3</v>
      </c>
      <c r="C4" s="43">
        <v>4.001199999999443E-3</v>
      </c>
      <c r="D4" s="43">
        <v>6.7015999999988198E-3</v>
      </c>
      <c r="E4" s="43">
        <v>6.6864649999980943E-3</v>
      </c>
      <c r="F4" s="43">
        <v>3.9604949999991852E-3</v>
      </c>
      <c r="G4" s="43">
        <v>6.9643149999997437E-3</v>
      </c>
      <c r="H4" s="44">
        <v>5.1687749999986474E-3</v>
      </c>
      <c r="I4" s="44">
        <v>5.032067499999471E-3</v>
      </c>
      <c r="J4" s="51">
        <v>7.181930000000847E-3</v>
      </c>
      <c r="K4" s="51">
        <v>7.1624075000005401E-3</v>
      </c>
      <c r="L4" s="44">
        <v>4.9595574999990785E-3</v>
      </c>
      <c r="M4" s="44">
        <v>0.14690098250003358</v>
      </c>
      <c r="N4" s="43">
        <v>5.2728724999988692E-3</v>
      </c>
      <c r="O4" s="43">
        <v>5.098712500000175E-3</v>
      </c>
      <c r="P4" s="43">
        <v>7.259894999998409E-3</v>
      </c>
      <c r="Q4" s="43">
        <v>7.2381824999992262E-3</v>
      </c>
      <c r="R4" s="43">
        <v>5.0072025000005736E-3</v>
      </c>
      <c r="S4" s="43">
        <v>0.38821949500008329</v>
      </c>
      <c r="T4" s="44">
        <v>5.7325624999999998E-3</v>
      </c>
      <c r="U4" s="44">
        <v>5.6027224999999703E-3</v>
      </c>
      <c r="V4" s="44">
        <v>8.1839575000009282E-3</v>
      </c>
      <c r="W4" s="44">
        <v>8.1574425000009391E-3</v>
      </c>
      <c r="X4" s="44">
        <v>5.5013600000006595E-3</v>
      </c>
      <c r="Y4" s="44">
        <v>0.79826600499991196</v>
      </c>
      <c r="Z4" s="41">
        <v>6.9248099999999993E-2</v>
      </c>
      <c r="AA4" s="45">
        <v>6.4801147000000003E-2</v>
      </c>
      <c r="AB4" s="45">
        <v>6.4808110000000002E-2</v>
      </c>
      <c r="AC4" s="45">
        <v>6.4799576999999997E-2</v>
      </c>
      <c r="AD4" s="45">
        <v>6.7338059999999991E-2</v>
      </c>
      <c r="AE4" s="41">
        <v>1.541537452</v>
      </c>
      <c r="AF4" s="42">
        <v>0.48851767499999998</v>
      </c>
      <c r="AG4" s="46">
        <v>0.239334027</v>
      </c>
      <c r="AH4" s="46">
        <v>0.23829825200000002</v>
      </c>
      <c r="AI4" s="46">
        <v>0.23828858</v>
      </c>
      <c r="AJ4" s="46">
        <v>0.23982964200000001</v>
      </c>
      <c r="AK4" s="42">
        <v>2.980437255</v>
      </c>
      <c r="AL4" s="41">
        <v>0.85871147999999997</v>
      </c>
      <c r="AM4" s="41">
        <v>0.32320220500000002</v>
      </c>
      <c r="AN4" s="41">
        <v>0.31584453000000001</v>
      </c>
      <c r="AO4" s="41">
        <v>0.31556245999999999</v>
      </c>
      <c r="AP4" s="41">
        <v>0.31724647</v>
      </c>
      <c r="AQ4" s="41">
        <v>3.7226190470000002</v>
      </c>
      <c r="AR4" s="42">
        <v>1.5004694869999999</v>
      </c>
      <c r="AS4" s="42">
        <v>0.45669300700000004</v>
      </c>
      <c r="AT4" s="42">
        <v>0.427033575</v>
      </c>
      <c r="AU4" s="42">
        <v>0.425730465</v>
      </c>
      <c r="AV4" s="42">
        <v>0.42643129699999999</v>
      </c>
      <c r="AW4" s="42">
        <v>4.7947290000000002</v>
      </c>
    </row>
    <row r="5" spans="1:49" x14ac:dyDescent="0.25">
      <c r="A5" s="32">
        <v>3.125E-2</v>
      </c>
      <c r="B5" s="39">
        <v>9.8075224999995218E-3</v>
      </c>
      <c r="C5" s="39">
        <v>8.8692974999966621E-3</v>
      </c>
      <c r="D5" s="39">
        <v>9.7776499999987724E-3</v>
      </c>
      <c r="E5" s="39">
        <v>9.7126599999988635E-3</v>
      </c>
      <c r="F5" s="39">
        <v>8.3493799999985185E-3</v>
      </c>
      <c r="G5" s="39">
        <v>0.2445593124997818</v>
      </c>
      <c r="H5" s="40">
        <v>0.10979498499946469</v>
      </c>
      <c r="I5" s="40">
        <v>9.8646267499632928E-2</v>
      </c>
      <c r="J5" s="40">
        <v>9.9429402499633002E-2</v>
      </c>
      <c r="K5" s="40">
        <v>9.9358824999631279E-2</v>
      </c>
      <c r="L5" s="40">
        <v>9.7995802499633688E-2</v>
      </c>
      <c r="M5" s="40">
        <v>1.3551401349997161</v>
      </c>
      <c r="N5" s="39">
        <v>0.43780920999989875</v>
      </c>
      <c r="O5" s="39">
        <v>0.2279114274995315</v>
      </c>
      <c r="P5" s="39">
        <v>0.22806246249968681</v>
      </c>
      <c r="Q5" s="39">
        <v>0.22796312999968682</v>
      </c>
      <c r="R5" s="39">
        <v>0.22685895999944777</v>
      </c>
      <c r="S5" s="39">
        <v>2.338761917499375</v>
      </c>
      <c r="T5" s="40">
        <v>1.1461264950000001</v>
      </c>
      <c r="U5" s="40">
        <v>0.40740986749954267</v>
      </c>
      <c r="V5" s="40">
        <v>0.38944330749947581</v>
      </c>
      <c r="W5" s="40">
        <v>0.3885733574995594</v>
      </c>
      <c r="X5" s="40">
        <v>0.38559134749961732</v>
      </c>
      <c r="Y5" s="40">
        <v>3.8111298074993902</v>
      </c>
      <c r="Z5" s="41">
        <v>2.497907637</v>
      </c>
      <c r="AA5" s="41">
        <v>0.771316585</v>
      </c>
      <c r="AB5" s="41">
        <v>0.659869492</v>
      </c>
      <c r="AC5" s="41">
        <v>0.65445259200000006</v>
      </c>
      <c r="AD5" s="41">
        <v>0.65194266000000001</v>
      </c>
      <c r="AE5" s="41">
        <v>6.1258988169999995</v>
      </c>
      <c r="AF5" s="42">
        <v>5.3193557900000004</v>
      </c>
      <c r="AG5" s="42">
        <v>1.8274226200000001</v>
      </c>
      <c r="AH5" s="42">
        <v>1.362322995</v>
      </c>
      <c r="AI5" s="42">
        <v>1.338654282</v>
      </c>
      <c r="AJ5" s="42">
        <v>1.318234465</v>
      </c>
      <c r="AK5" s="42">
        <v>10.216651722</v>
      </c>
      <c r="AL5" s="41">
        <v>6.8672200549999998</v>
      </c>
      <c r="AM5" s="41">
        <v>2.5931513319999997</v>
      </c>
      <c r="AN5" s="41">
        <v>1.8607890820000001</v>
      </c>
      <c r="AO5" s="41">
        <v>1.8232425469999998</v>
      </c>
      <c r="AP5" s="41">
        <v>1.7903070270000001</v>
      </c>
      <c r="AQ5" s="41">
        <v>12.260521434999999</v>
      </c>
      <c r="AR5" s="42">
        <v>9.1657375549999998</v>
      </c>
      <c r="AS5" s="42">
        <v>3.892979242</v>
      </c>
      <c r="AT5" s="42">
        <v>2.7472206579999998</v>
      </c>
      <c r="AU5" s="42">
        <v>2.6842941750000002</v>
      </c>
      <c r="AV5" s="42">
        <v>2.6282850149999999</v>
      </c>
      <c r="AW5" s="42">
        <v>15.14553117</v>
      </c>
    </row>
    <row r="6" spans="1:49" x14ac:dyDescent="0.25">
      <c r="A6" s="32">
        <v>4.1666666666666664E-2</v>
      </c>
      <c r="B6" s="39">
        <v>2.2838419824996259</v>
      </c>
      <c r="C6" s="39">
        <v>0.91256463249932585</v>
      </c>
      <c r="D6" s="39">
        <v>0.75527645749952188</v>
      </c>
      <c r="E6" s="39">
        <v>0.7479149024995918</v>
      </c>
      <c r="F6" s="39">
        <v>0.73979392749942086</v>
      </c>
      <c r="G6" s="39">
        <v>4.4287867799993101</v>
      </c>
      <c r="H6" s="40">
        <v>7.9335879524995496</v>
      </c>
      <c r="I6" s="40">
        <v>4.5289811374997795</v>
      </c>
      <c r="J6" s="40">
        <v>3.5537314449998796</v>
      </c>
      <c r="K6" s="40">
        <v>3.4872859899998656</v>
      </c>
      <c r="L6" s="40">
        <v>3.422063839999768</v>
      </c>
      <c r="M6" s="40">
        <v>11.88352248749943</v>
      </c>
      <c r="N6" s="39">
        <v>11.964196434999479</v>
      </c>
      <c r="O6" s="39">
        <v>7.5227494149997334</v>
      </c>
      <c r="P6" s="39">
        <v>6.1370628649995593</v>
      </c>
      <c r="Q6" s="39">
        <v>6.0384806374997115</v>
      </c>
      <c r="R6" s="39">
        <v>5.9405942924995632</v>
      </c>
      <c r="S6" s="39">
        <v>16.806979922499409</v>
      </c>
      <c r="T6" s="40">
        <v>17.503211759999999</v>
      </c>
      <c r="U6" s="40">
        <v>11.827655272499669</v>
      </c>
      <c r="V6" s="40">
        <v>9.9818465874997315</v>
      </c>
      <c r="W6" s="40">
        <v>9.8452051549997535</v>
      </c>
      <c r="X6" s="40">
        <v>9.7108692049996623</v>
      </c>
      <c r="Y6" s="40">
        <v>23.321542667499358</v>
      </c>
      <c r="Z6" s="41">
        <v>25.5425866</v>
      </c>
      <c r="AA6" s="41">
        <v>18.311598055000001</v>
      </c>
      <c r="AB6" s="41">
        <v>15.901156276999998</v>
      </c>
      <c r="AC6" s="41">
        <v>15.720632905</v>
      </c>
      <c r="AD6" s="41">
        <v>15.545222299999999</v>
      </c>
      <c r="AE6" s="41">
        <v>32.474206709999997</v>
      </c>
      <c r="AF6" s="42">
        <v>39.002750077000002</v>
      </c>
      <c r="AG6" s="42">
        <v>29.575077655000001</v>
      </c>
      <c r="AH6" s="42">
        <v>26.356769932999999</v>
      </c>
      <c r="AI6" s="42">
        <v>26.112315077999998</v>
      </c>
      <c r="AJ6" s="42">
        <v>25.873364541999997</v>
      </c>
      <c r="AK6" s="42">
        <v>47.227540149999996</v>
      </c>
      <c r="AL6" s="41">
        <v>45.450801465000005</v>
      </c>
      <c r="AM6" s="41">
        <v>35.10548464</v>
      </c>
      <c r="AN6" s="41">
        <v>31.526616502999996</v>
      </c>
      <c r="AO6" s="41">
        <v>31.256849722999998</v>
      </c>
      <c r="AP6" s="41">
        <v>30.991585310000001</v>
      </c>
      <c r="AQ6" s="41">
        <v>54.123757161999997</v>
      </c>
      <c r="AR6" s="42">
        <v>54.309575629999998</v>
      </c>
      <c r="AS6" s="42">
        <v>42.837541176999999</v>
      </c>
      <c r="AT6" s="42">
        <v>38.771212047000006</v>
      </c>
      <c r="AU6" s="42">
        <v>38.466989982000001</v>
      </c>
      <c r="AV6" s="42">
        <v>38.167712850000001</v>
      </c>
      <c r="AW6" s="42">
        <v>63.482213940000001</v>
      </c>
    </row>
    <row r="7" spans="1:49" x14ac:dyDescent="0.25">
      <c r="A7" s="32">
        <v>5.2083333333333336E-2</v>
      </c>
      <c r="B7" s="47">
        <v>14.47560552749972</v>
      </c>
      <c r="C7" s="47">
        <v>8.1865679349997436</v>
      </c>
      <c r="D7" s="47">
        <v>5.7319490899997643</v>
      </c>
      <c r="E7" s="47">
        <v>5.5629542499997395</v>
      </c>
      <c r="F7" s="47">
        <v>5.3991282224997335</v>
      </c>
      <c r="G7" s="39">
        <v>19.754188274999489</v>
      </c>
      <c r="H7" s="40">
        <v>36.295742032499547</v>
      </c>
      <c r="I7" s="48">
        <v>27.392013157499832</v>
      </c>
      <c r="J7" s="48">
        <v>23.799736039999829</v>
      </c>
      <c r="K7" s="48">
        <v>23.50857257749983</v>
      </c>
      <c r="L7" s="48">
        <v>23.21937473749988</v>
      </c>
      <c r="M7" s="40">
        <v>43.645248677499531</v>
      </c>
      <c r="N7" s="39">
        <v>49.509540934999492</v>
      </c>
      <c r="O7" s="47">
        <v>39.055018199999687</v>
      </c>
      <c r="P7" s="47">
        <v>35.094782702499749</v>
      </c>
      <c r="Q7" s="47">
        <v>34.776108924999726</v>
      </c>
      <c r="R7" s="47">
        <v>34.458830797499736</v>
      </c>
      <c r="S7" s="39">
        <v>57.577050607499572</v>
      </c>
      <c r="T7" s="40">
        <v>66.173548750000009</v>
      </c>
      <c r="U7" s="48">
        <v>53.95659335999958</v>
      </c>
      <c r="V7" s="48">
        <v>49.495802347499733</v>
      </c>
      <c r="W7" s="48">
        <v>49.142637682499817</v>
      </c>
      <c r="X7" s="48">
        <v>48.792402272499707</v>
      </c>
      <c r="Y7" s="40">
        <v>75.07504468249941</v>
      </c>
      <c r="Z7" s="41">
        <v>88.780620075000002</v>
      </c>
      <c r="AA7" s="41">
        <v>74.550791791999998</v>
      </c>
      <c r="AB7" s="49">
        <v>69.279476145000004</v>
      </c>
      <c r="AC7" s="49">
        <v>68.870007287000007</v>
      </c>
      <c r="AD7" s="49">
        <v>68.463155262000001</v>
      </c>
      <c r="AE7" s="41">
        <v>98.630935793000006</v>
      </c>
      <c r="AF7" s="42">
        <v>124.99762387300001</v>
      </c>
      <c r="AG7" s="42">
        <v>108.48176872000001</v>
      </c>
      <c r="AH7" s="42">
        <v>101.60100081500001</v>
      </c>
      <c r="AI7" s="42">
        <v>101.075829728</v>
      </c>
      <c r="AJ7" s="42">
        <v>100.544727073</v>
      </c>
      <c r="AK7" s="42">
        <v>136.101764325</v>
      </c>
      <c r="AL7" s="41">
        <v>142.176744555</v>
      </c>
      <c r="AM7" s="41">
        <v>124.71777265999999</v>
      </c>
      <c r="AN7" s="41">
        <v>117.2966723</v>
      </c>
      <c r="AO7" s="41">
        <v>116.704092192</v>
      </c>
      <c r="AP7" s="41">
        <v>116.10057542999999</v>
      </c>
      <c r="AQ7" s="41">
        <v>153.90568304000001</v>
      </c>
      <c r="AR7" s="42">
        <v>166.03447528800001</v>
      </c>
      <c r="AS7" s="42">
        <v>147.20533355000001</v>
      </c>
      <c r="AT7" s="42">
        <v>139.13799443300002</v>
      </c>
      <c r="AU7" s="42">
        <v>138.489322203</v>
      </c>
      <c r="AV7" s="42">
        <v>137.823576997</v>
      </c>
      <c r="AW7" s="42">
        <v>178.61020907299999</v>
      </c>
    </row>
    <row r="8" spans="1:49" x14ac:dyDescent="0.25">
      <c r="A8" s="32">
        <v>6.25E-2</v>
      </c>
      <c r="B8" s="39">
        <v>13.820138732499871</v>
      </c>
      <c r="C8" s="39">
        <v>5.8531905849998589</v>
      </c>
      <c r="D8" s="39">
        <v>3.6583141074998711</v>
      </c>
      <c r="E8" s="39">
        <v>3.5244671774998548</v>
      </c>
      <c r="F8" s="39">
        <v>3.3964365299998431</v>
      </c>
      <c r="G8" s="47">
        <v>20.795259569999438</v>
      </c>
      <c r="H8" s="48">
        <v>37.019222509999466</v>
      </c>
      <c r="I8" s="40">
        <v>25.083140869999689</v>
      </c>
      <c r="J8" s="40">
        <v>20.40745929749972</v>
      </c>
      <c r="K8" s="40">
        <v>20.049639732499728</v>
      </c>
      <c r="L8" s="40">
        <v>19.697595337499759</v>
      </c>
      <c r="M8" s="40">
        <v>46.845052729999544</v>
      </c>
      <c r="N8" s="47">
        <v>51.084844232499584</v>
      </c>
      <c r="O8" s="39">
        <v>37.315023214999911</v>
      </c>
      <c r="P8" s="39">
        <v>31.87698938999981</v>
      </c>
      <c r="Q8" s="39">
        <v>31.451068924999841</v>
      </c>
      <c r="R8" s="39">
        <v>31.030211879999847</v>
      </c>
      <c r="S8" s="39">
        <v>61.842834524999674</v>
      </c>
      <c r="T8" s="48">
        <v>69.043436100000008</v>
      </c>
      <c r="U8" s="40">
        <v>53.134106329999746</v>
      </c>
      <c r="V8" s="40">
        <v>46.941062847499779</v>
      </c>
      <c r="W8" s="40">
        <v>46.45122602249986</v>
      </c>
      <c r="X8" s="40">
        <v>45.96806258249979</v>
      </c>
      <c r="Y8" s="40">
        <v>81.184347047499486</v>
      </c>
      <c r="Z8" s="41">
        <v>94.70388424299999</v>
      </c>
      <c r="AA8" s="49">
        <v>75.630217235000003</v>
      </c>
      <c r="AB8" s="41">
        <v>68.405270107999996</v>
      </c>
      <c r="AC8" s="41">
        <v>67.824819605000002</v>
      </c>
      <c r="AD8" s="41">
        <v>67.250522669999995</v>
      </c>
      <c r="AE8" s="41">
        <v>108.974436048</v>
      </c>
      <c r="AF8" s="42">
        <v>139.55653180499999</v>
      </c>
      <c r="AG8" s="42">
        <v>115.59943024299999</v>
      </c>
      <c r="AH8" s="50">
        <v>106.153180245</v>
      </c>
      <c r="AI8" s="50">
        <v>105.42676770999999</v>
      </c>
      <c r="AJ8" s="50">
        <v>104.660834073</v>
      </c>
      <c r="AK8" s="42">
        <v>155.92244107499999</v>
      </c>
      <c r="AL8" s="41">
        <v>161.54483365199999</v>
      </c>
      <c r="AM8" s="41">
        <v>135.86393973999998</v>
      </c>
      <c r="AN8" s="41">
        <v>125.425603767</v>
      </c>
      <c r="AO8" s="41">
        <v>124.60284524699999</v>
      </c>
      <c r="AP8" s="41">
        <v>123.76019579199999</v>
      </c>
      <c r="AQ8" s="41">
        <v>178.65337553500001</v>
      </c>
      <c r="AR8" s="42">
        <v>192.23408137999999</v>
      </c>
      <c r="AS8" s="42">
        <v>164.41645225500002</v>
      </c>
      <c r="AT8" s="42">
        <v>152.776414848</v>
      </c>
      <c r="AU8" s="42">
        <v>151.85480075999999</v>
      </c>
      <c r="AV8" s="42">
        <v>150.8827517</v>
      </c>
      <c r="AW8" s="42">
        <v>210.071690905</v>
      </c>
    </row>
    <row r="9" spans="1:49" x14ac:dyDescent="0.25">
      <c r="A9" s="32">
        <v>7.2916666666666671E-2</v>
      </c>
      <c r="B9" s="39">
        <v>12.003583354999909</v>
      </c>
      <c r="C9" s="39">
        <v>4.5453143649999639</v>
      </c>
      <c r="D9" s="39">
        <v>2.6972736899999989</v>
      </c>
      <c r="E9" s="39">
        <v>2.586486359999943</v>
      </c>
      <c r="F9" s="39">
        <v>2.480403434999924</v>
      </c>
      <c r="G9" s="39">
        <v>19.814603609999548</v>
      </c>
      <c r="H9" s="40">
        <v>34.276613319999647</v>
      </c>
      <c r="I9" s="40">
        <v>21.294702922499862</v>
      </c>
      <c r="J9" s="40">
        <v>16.707445147499758</v>
      </c>
      <c r="K9" s="40">
        <v>16.36566978999975</v>
      </c>
      <c r="L9" s="40">
        <v>16.032162262499821</v>
      </c>
      <c r="M9" s="40">
        <v>46.301951472499375</v>
      </c>
      <c r="N9" s="39">
        <v>48.624347944999535</v>
      </c>
      <c r="O9" s="39">
        <v>32.776217219999786</v>
      </c>
      <c r="P9" s="39">
        <v>27.210609239999862</v>
      </c>
      <c r="Q9" s="39">
        <v>26.776062832499807</v>
      </c>
      <c r="R9" s="39">
        <v>26.351274702499701</v>
      </c>
      <c r="S9" s="39">
        <v>62.807920454999525</v>
      </c>
      <c r="T9" s="40">
        <v>68.433472660000007</v>
      </c>
      <c r="U9" s="40">
        <v>48.784936772499741</v>
      </c>
      <c r="V9" s="40">
        <v>41.706436379999801</v>
      </c>
      <c r="W9" s="40">
        <v>41.163199427499734</v>
      </c>
      <c r="X9" s="40">
        <v>40.623058747499769</v>
      </c>
      <c r="Y9" s="40">
        <v>84.174740872499527</v>
      </c>
      <c r="Z9" s="41">
        <v>96.941376025000011</v>
      </c>
      <c r="AA9" s="41">
        <v>73.02940516999999</v>
      </c>
      <c r="AB9" s="41">
        <v>64.272347597000007</v>
      </c>
      <c r="AC9" s="41">
        <v>63.594694799999999</v>
      </c>
      <c r="AD9" s="41">
        <v>62.931808359999998</v>
      </c>
      <c r="AE9" s="41">
        <v>114.69500309999999</v>
      </c>
      <c r="AF9" s="42">
        <v>146.16721330500002</v>
      </c>
      <c r="AG9" s="50">
        <v>116.486103297</v>
      </c>
      <c r="AH9" s="42">
        <v>104.840387292</v>
      </c>
      <c r="AI9" s="42">
        <v>103.935908322</v>
      </c>
      <c r="AJ9" s="42">
        <v>103.003166397</v>
      </c>
      <c r="AK9" s="42">
        <v>166.24209544800001</v>
      </c>
      <c r="AL9" s="41">
        <v>170.08735336699999</v>
      </c>
      <c r="AM9" s="49">
        <v>138.50483764000001</v>
      </c>
      <c r="AN9" s="49">
        <v>125.65487930999998</v>
      </c>
      <c r="AO9" s="49">
        <v>124.65582995500002</v>
      </c>
      <c r="AP9" s="49">
        <v>123.606519483</v>
      </c>
      <c r="AQ9" s="41">
        <v>190.67704036500001</v>
      </c>
      <c r="AR9" s="42">
        <v>202.980169362</v>
      </c>
      <c r="AS9" s="50">
        <v>169.267337277</v>
      </c>
      <c r="AT9" s="50">
        <v>155.07460802</v>
      </c>
      <c r="AU9" s="50">
        <v>153.960607095</v>
      </c>
      <c r="AV9" s="50">
        <v>152.76367589500001</v>
      </c>
      <c r="AW9" s="42">
        <v>224.41314574500001</v>
      </c>
    </row>
    <row r="10" spans="1:49" x14ac:dyDescent="0.25">
      <c r="A10" s="32">
        <v>8.3333333333333329E-2</v>
      </c>
      <c r="B10" s="39">
        <v>10.88040753000001</v>
      </c>
      <c r="C10" s="39">
        <v>3.8343444174999823</v>
      </c>
      <c r="D10" s="39">
        <v>2.1650898000000218</v>
      </c>
      <c r="E10" s="39">
        <v>2.069097202499997</v>
      </c>
      <c r="F10" s="39">
        <v>1.97758623250001</v>
      </c>
      <c r="G10" s="39">
        <v>19.193990074999661</v>
      </c>
      <c r="H10" s="40">
        <v>32.512124644999815</v>
      </c>
      <c r="I10" s="40">
        <v>19.29081594249983</v>
      </c>
      <c r="J10" s="40">
        <v>14.758209884999879</v>
      </c>
      <c r="K10" s="40">
        <v>14.420630634999799</v>
      </c>
      <c r="L10" s="40">
        <v>14.088830137499821</v>
      </c>
      <c r="M10" s="40">
        <v>46.918275284999524</v>
      </c>
      <c r="N10" s="39">
        <v>47.654980224999626</v>
      </c>
      <c r="O10" s="39">
        <v>30.445153224999718</v>
      </c>
      <c r="P10" s="39">
        <v>24.732653507499762</v>
      </c>
      <c r="Q10" s="39">
        <v>24.276109587499729</v>
      </c>
      <c r="R10" s="39">
        <v>23.850880372499748</v>
      </c>
      <c r="S10" s="39">
        <v>64.139662629999478</v>
      </c>
      <c r="T10" s="40">
        <v>68.073609820000001</v>
      </c>
      <c r="U10" s="40">
        <v>46.89738721499991</v>
      </c>
      <c r="V10" s="40">
        <v>39.556773512499802</v>
      </c>
      <c r="W10" s="40">
        <v>38.996167354999862</v>
      </c>
      <c r="X10" s="40">
        <v>38.432329499999732</v>
      </c>
      <c r="Y10" s="40">
        <v>86.391253309999556</v>
      </c>
      <c r="Z10" s="49">
        <v>97.464348482000005</v>
      </c>
      <c r="AA10" s="41">
        <v>71.032731272000007</v>
      </c>
      <c r="AB10" s="41">
        <v>61.810969985</v>
      </c>
      <c r="AC10" s="41">
        <v>61.099853879999998</v>
      </c>
      <c r="AD10" s="41">
        <v>60.426340361999998</v>
      </c>
      <c r="AE10" s="41">
        <v>118.024206875</v>
      </c>
      <c r="AF10" s="42">
        <v>148.28103121799998</v>
      </c>
      <c r="AG10" s="42">
        <v>114.53166388300001</v>
      </c>
      <c r="AH10" s="42">
        <v>101.912346075</v>
      </c>
      <c r="AI10" s="42">
        <v>100.937846665</v>
      </c>
      <c r="AJ10" s="42">
        <v>99.958970373</v>
      </c>
      <c r="AK10" s="42">
        <v>171.239795265</v>
      </c>
      <c r="AL10" s="41">
        <v>172.87048821300002</v>
      </c>
      <c r="AM10" s="41">
        <v>136.67494152</v>
      </c>
      <c r="AN10" s="41">
        <v>122.61609948</v>
      </c>
      <c r="AO10" s="41">
        <v>121.54423278000002</v>
      </c>
      <c r="AP10" s="41">
        <v>120.413577855</v>
      </c>
      <c r="AQ10" s="41">
        <v>196.58912724299998</v>
      </c>
      <c r="AR10" s="42">
        <v>206.853117492</v>
      </c>
      <c r="AS10" s="42">
        <v>167.899821452</v>
      </c>
      <c r="AT10" s="42">
        <v>152.06756490799998</v>
      </c>
      <c r="AU10" s="42">
        <v>150.84664750799999</v>
      </c>
      <c r="AV10" s="42">
        <v>149.529837633</v>
      </c>
      <c r="AW10" s="42">
        <v>231.40894370699999</v>
      </c>
    </row>
    <row r="11" spans="1:49" x14ac:dyDescent="0.25">
      <c r="A11" s="32">
        <v>9.375E-2</v>
      </c>
      <c r="B11" s="39">
        <v>10.097761627500029</v>
      </c>
      <c r="C11" s="39">
        <v>3.2981229325000552</v>
      </c>
      <c r="D11" s="39">
        <v>1.779831607500014</v>
      </c>
      <c r="E11" s="39">
        <v>1.695327487500057</v>
      </c>
      <c r="F11" s="39">
        <v>1.615131245000035</v>
      </c>
      <c r="G11" s="39">
        <v>18.889006357499721</v>
      </c>
      <c r="H11" s="40">
        <v>32.090961899999769</v>
      </c>
      <c r="I11" s="40">
        <v>18.229614219999849</v>
      </c>
      <c r="J11" s="40">
        <v>13.71145158749996</v>
      </c>
      <c r="K11" s="40">
        <v>13.383414617499971</v>
      </c>
      <c r="L11" s="40">
        <v>13.0620194325</v>
      </c>
      <c r="M11" s="40">
        <v>47.913718157499638</v>
      </c>
      <c r="N11" s="39">
        <v>47.526020559999786</v>
      </c>
      <c r="O11" s="39">
        <v>29.614939982499713</v>
      </c>
      <c r="P11" s="39">
        <v>23.565390909999699</v>
      </c>
      <c r="Q11" s="39">
        <v>23.05637951249976</v>
      </c>
      <c r="R11" s="39">
        <v>22.607087964999739</v>
      </c>
      <c r="S11" s="39">
        <v>65.49769888499965</v>
      </c>
      <c r="T11" s="40">
        <v>67.866291250000003</v>
      </c>
      <c r="U11" s="40">
        <v>45.965698684999815</v>
      </c>
      <c r="V11" s="40">
        <v>38.417849372499738</v>
      </c>
      <c r="W11" s="40">
        <v>37.842703932499752</v>
      </c>
      <c r="X11" s="40">
        <v>37.264259679999682</v>
      </c>
      <c r="Y11" s="40">
        <v>87.884557149999338</v>
      </c>
      <c r="Z11" s="41">
        <v>97.028478297999996</v>
      </c>
      <c r="AA11" s="41">
        <v>69.62020552300001</v>
      </c>
      <c r="AB11" s="41">
        <v>60.263431914999998</v>
      </c>
      <c r="AC11" s="41">
        <v>59.536157834999997</v>
      </c>
      <c r="AD11" s="41">
        <v>58.857972719999999</v>
      </c>
      <c r="AE11" s="41">
        <v>119.82583234500001</v>
      </c>
      <c r="AF11" s="50">
        <v>148.19055078</v>
      </c>
      <c r="AG11" s="42">
        <v>111.842795432</v>
      </c>
      <c r="AH11" s="42">
        <v>98.834356982000003</v>
      </c>
      <c r="AI11" s="42">
        <v>97.831573516999995</v>
      </c>
      <c r="AJ11" s="42">
        <v>96.835367497000007</v>
      </c>
      <c r="AK11" s="42">
        <v>173.77764253499998</v>
      </c>
      <c r="AL11" s="49">
        <v>173.029197385</v>
      </c>
      <c r="AM11" s="41">
        <v>133.62347775200001</v>
      </c>
      <c r="AN11" s="41">
        <v>118.881235718</v>
      </c>
      <c r="AO11" s="41">
        <v>117.77276893</v>
      </c>
      <c r="AP11" s="41">
        <v>116.60577982300001</v>
      </c>
      <c r="AQ11" s="41">
        <v>199.28143477700002</v>
      </c>
      <c r="AR11" s="50">
        <v>207.11911528499999</v>
      </c>
      <c r="AS11" s="42">
        <v>164.46756543199999</v>
      </c>
      <c r="AT11" s="42">
        <v>147.79030733499999</v>
      </c>
      <c r="AU11" s="42">
        <v>146.49976977</v>
      </c>
      <c r="AV11" s="42">
        <v>145.12054545799998</v>
      </c>
      <c r="AW11" s="42">
        <v>234.40983182000002</v>
      </c>
    </row>
    <row r="12" spans="1:49" x14ac:dyDescent="0.25">
      <c r="A12" s="32">
        <v>0.10416666666666667</v>
      </c>
      <c r="B12" s="39">
        <v>9.5352341374999696</v>
      </c>
      <c r="C12" s="39">
        <v>2.8628459225000471</v>
      </c>
      <c r="D12" s="39">
        <v>1.48031810250004</v>
      </c>
      <c r="E12" s="39">
        <v>1.4075346725000271</v>
      </c>
      <c r="F12" s="39">
        <v>1.3386844650000329</v>
      </c>
      <c r="G12" s="39">
        <v>18.71026811249958</v>
      </c>
      <c r="H12" s="40">
        <v>31.932219364999899</v>
      </c>
      <c r="I12" s="40">
        <v>17.442508274999938</v>
      </c>
      <c r="J12" s="40">
        <v>12.86439961249989</v>
      </c>
      <c r="K12" s="40">
        <v>12.53307153249993</v>
      </c>
      <c r="L12" s="40">
        <v>12.20717044000002</v>
      </c>
      <c r="M12" s="40">
        <v>48.780042714999681</v>
      </c>
      <c r="N12" s="39">
        <v>47.664342082499928</v>
      </c>
      <c r="O12" s="39">
        <v>29.014819519999861</v>
      </c>
      <c r="P12" s="39">
        <v>22.781103422499861</v>
      </c>
      <c r="Q12" s="39">
        <v>22.259566374999938</v>
      </c>
      <c r="R12" s="39">
        <v>21.802873342499801</v>
      </c>
      <c r="S12" s="39">
        <v>66.815870154999516</v>
      </c>
      <c r="T12" s="40">
        <v>68.03379778</v>
      </c>
      <c r="U12" s="40">
        <v>45.439500177499973</v>
      </c>
      <c r="V12" s="40">
        <v>37.630447174999688</v>
      </c>
      <c r="W12" s="40">
        <v>37.033977182499811</v>
      </c>
      <c r="X12" s="40">
        <v>36.43381833249969</v>
      </c>
      <c r="Y12" s="40">
        <v>89.177195094999533</v>
      </c>
      <c r="Z12" s="41">
        <v>96.374562247</v>
      </c>
      <c r="AA12" s="41">
        <v>68.694412447999994</v>
      </c>
      <c r="AB12" s="41">
        <v>59.249848994999994</v>
      </c>
      <c r="AC12" s="41">
        <v>58.507087057</v>
      </c>
      <c r="AD12" s="41">
        <v>57.792648002999996</v>
      </c>
      <c r="AE12" s="41">
        <v>120.849612243</v>
      </c>
      <c r="AF12" s="42">
        <v>146.79716163999998</v>
      </c>
      <c r="AG12" s="42">
        <v>109.258343943</v>
      </c>
      <c r="AH12" s="42">
        <v>96.003436386999994</v>
      </c>
      <c r="AI12" s="42">
        <v>94.978343776999992</v>
      </c>
      <c r="AJ12" s="42">
        <v>93.986347002000002</v>
      </c>
      <c r="AK12" s="50">
        <v>174.579399825</v>
      </c>
      <c r="AL12" s="41">
        <v>171.47847081500001</v>
      </c>
      <c r="AM12" s="41">
        <v>130.24376459199999</v>
      </c>
      <c r="AN12" s="41">
        <v>115.338650832</v>
      </c>
      <c r="AO12" s="41">
        <v>114.21669663199999</v>
      </c>
      <c r="AP12" s="41">
        <v>113.05700015199999</v>
      </c>
      <c r="AQ12" s="49">
        <v>199.903874922</v>
      </c>
      <c r="AR12" s="42">
        <v>205.414227525</v>
      </c>
      <c r="AS12" s="42">
        <v>160.35365042800001</v>
      </c>
      <c r="AT12" s="42">
        <v>143.17672705500001</v>
      </c>
      <c r="AU12" s="42">
        <v>141.864617705</v>
      </c>
      <c r="AV12" s="42">
        <v>140.48693394</v>
      </c>
      <c r="AW12" s="50">
        <v>234.88553497999999</v>
      </c>
    </row>
    <row r="13" spans="1:49" x14ac:dyDescent="0.25">
      <c r="A13" s="32">
        <v>0.11458333333333333</v>
      </c>
      <c r="B13" s="39">
        <v>9.0361725224999709</v>
      </c>
      <c r="C13" s="39">
        <v>2.490718447500063</v>
      </c>
      <c r="D13" s="39">
        <v>1.244003560000021</v>
      </c>
      <c r="E13" s="39">
        <v>1.1806760950000379</v>
      </c>
      <c r="F13" s="39">
        <v>1.1214172875000061</v>
      </c>
      <c r="G13" s="39">
        <v>18.573391479999671</v>
      </c>
      <c r="H13" s="40">
        <v>31.679241807499807</v>
      </c>
      <c r="I13" s="40">
        <v>16.728573117500012</v>
      </c>
      <c r="J13" s="40">
        <v>12.06123878750007</v>
      </c>
      <c r="K13" s="40">
        <v>11.723437262499949</v>
      </c>
      <c r="L13" s="40">
        <v>11.39010028999995</v>
      </c>
      <c r="M13" s="40">
        <v>49.51704404999969</v>
      </c>
      <c r="N13" s="39">
        <v>47.750534302499737</v>
      </c>
      <c r="O13" s="39">
        <v>28.304949944999699</v>
      </c>
      <c r="P13" s="39">
        <v>21.94684116749988</v>
      </c>
      <c r="Q13" s="39">
        <v>21.418412644999911</v>
      </c>
      <c r="R13" s="39">
        <v>20.94942324999991</v>
      </c>
      <c r="S13" s="39">
        <v>67.923122434999655</v>
      </c>
      <c r="T13" s="40">
        <v>68.173273309999999</v>
      </c>
      <c r="U13" s="40">
        <v>44.927299082499857</v>
      </c>
      <c r="V13" s="40">
        <v>36.806179939999865</v>
      </c>
      <c r="W13" s="40">
        <v>36.183126827499891</v>
      </c>
      <c r="X13" s="40">
        <v>35.5556223849999</v>
      </c>
      <c r="Y13" s="40">
        <v>90.179504102499706</v>
      </c>
      <c r="Z13" s="41">
        <v>95.874312950000004</v>
      </c>
      <c r="AA13" s="41">
        <v>67.876996125000005</v>
      </c>
      <c r="AB13" s="41">
        <v>58.283073196999993</v>
      </c>
      <c r="AC13" s="41">
        <v>57.514516170000007</v>
      </c>
      <c r="AD13" s="41">
        <v>56.762722371999999</v>
      </c>
      <c r="AE13" s="49">
        <v>121.52771331199999</v>
      </c>
      <c r="AF13" s="42">
        <v>144.75946756500002</v>
      </c>
      <c r="AG13" s="42">
        <v>106.90142185800001</v>
      </c>
      <c r="AH13" s="42">
        <v>93.613906767999993</v>
      </c>
      <c r="AI13" s="42">
        <v>92.574302755000005</v>
      </c>
      <c r="AJ13" s="42">
        <v>91.594092875000001</v>
      </c>
      <c r="AK13" s="42">
        <v>173.87726351500001</v>
      </c>
      <c r="AL13" s="41">
        <v>168.68681563999999</v>
      </c>
      <c r="AM13" s="41">
        <v>127.09878471299999</v>
      </c>
      <c r="AN13" s="41">
        <v>112.123469988</v>
      </c>
      <c r="AO13" s="41">
        <v>110.99368178</v>
      </c>
      <c r="AP13" s="41">
        <v>109.820466255</v>
      </c>
      <c r="AQ13" s="41">
        <v>198.69971051300001</v>
      </c>
      <c r="AR13" s="42">
        <v>201.89866404</v>
      </c>
      <c r="AS13" s="42">
        <v>155.83167239700001</v>
      </c>
      <c r="AT13" s="42">
        <v>138.61235578</v>
      </c>
      <c r="AU13" s="42">
        <v>137.298460715</v>
      </c>
      <c r="AV13" s="42">
        <v>135.94911868700001</v>
      </c>
      <c r="AW13" s="42">
        <v>233.16762563499998</v>
      </c>
    </row>
    <row r="14" spans="1:49" x14ac:dyDescent="0.25">
      <c r="A14" s="32">
        <v>0.125</v>
      </c>
      <c r="B14" s="39">
        <v>8.5346185799998295</v>
      </c>
      <c r="C14" s="39">
        <v>2.1783828675000412</v>
      </c>
      <c r="D14" s="39">
        <v>1.0551872050000339</v>
      </c>
      <c r="E14" s="39">
        <v>1.0006792800000299</v>
      </c>
      <c r="F14" s="39">
        <v>0.94969925750004169</v>
      </c>
      <c r="G14" s="39">
        <v>18.38374137249966</v>
      </c>
      <c r="H14" s="40">
        <v>31.342782704999909</v>
      </c>
      <c r="I14" s="40">
        <v>15.966206467499889</v>
      </c>
      <c r="J14" s="40">
        <v>11.205408364999979</v>
      </c>
      <c r="K14" s="40">
        <v>10.86354193500004</v>
      </c>
      <c r="L14" s="40">
        <v>10.529104642500009</v>
      </c>
      <c r="M14" s="48">
        <v>49.991723014999721</v>
      </c>
      <c r="N14" s="39">
        <v>47.533328854999901</v>
      </c>
      <c r="O14" s="39">
        <v>27.53049512499976</v>
      </c>
      <c r="P14" s="39">
        <v>20.99049461499974</v>
      </c>
      <c r="Q14" s="39">
        <v>20.456489379999979</v>
      </c>
      <c r="R14" s="39">
        <v>19.978400694999948</v>
      </c>
      <c r="S14" s="39">
        <v>68.773046634999801</v>
      </c>
      <c r="T14" s="40">
        <v>68.183797720000001</v>
      </c>
      <c r="U14" s="40">
        <v>44.10010778499997</v>
      </c>
      <c r="V14" s="40">
        <v>35.72849820499998</v>
      </c>
      <c r="W14" s="40">
        <v>35.090509062499841</v>
      </c>
      <c r="X14" s="40">
        <v>34.450930434999847</v>
      </c>
      <c r="Y14" s="48">
        <v>90.843124179999649</v>
      </c>
      <c r="Z14" s="41">
        <v>95.279914445000003</v>
      </c>
      <c r="AA14" s="41">
        <v>66.998056009999999</v>
      </c>
      <c r="AB14" s="41">
        <v>57.203774367999998</v>
      </c>
      <c r="AC14" s="41">
        <v>56.418750804999995</v>
      </c>
      <c r="AD14" s="41">
        <v>55.651247351999999</v>
      </c>
      <c r="AE14" s="41">
        <v>121.432582727</v>
      </c>
      <c r="AF14" s="42">
        <v>142.10992479999999</v>
      </c>
      <c r="AG14" s="42">
        <v>104.703440155</v>
      </c>
      <c r="AH14" s="42">
        <v>91.409362662000007</v>
      </c>
      <c r="AI14" s="42">
        <v>90.355978778000008</v>
      </c>
      <c r="AJ14" s="42">
        <v>89.364638260000007</v>
      </c>
      <c r="AK14" s="42">
        <v>171.957391325</v>
      </c>
      <c r="AL14" s="41">
        <v>164.924483095</v>
      </c>
      <c r="AM14" s="41">
        <v>123.79924874</v>
      </c>
      <c r="AN14" s="41">
        <v>108.921755305</v>
      </c>
      <c r="AO14" s="41">
        <v>107.810969218</v>
      </c>
      <c r="AP14" s="41">
        <v>106.66388597800001</v>
      </c>
      <c r="AQ14" s="41">
        <v>196.15063566500001</v>
      </c>
      <c r="AR14" s="42">
        <v>197.09637437799998</v>
      </c>
      <c r="AS14" s="42">
        <v>150.86750890800002</v>
      </c>
      <c r="AT14" s="42">
        <v>134.02345023000001</v>
      </c>
      <c r="AU14" s="42">
        <v>132.70750871999999</v>
      </c>
      <c r="AV14" s="42">
        <v>131.35909660999999</v>
      </c>
      <c r="AW14" s="42">
        <v>229.96816387000001</v>
      </c>
    </row>
    <row r="15" spans="1:49" x14ac:dyDescent="0.25">
      <c r="A15" s="32">
        <v>0.13541666666666666</v>
      </c>
      <c r="B15" s="39">
        <v>8.0662514100000422</v>
      </c>
      <c r="C15" s="39">
        <v>1.8990548825000071</v>
      </c>
      <c r="D15" s="39">
        <v>0.89714484000000883</v>
      </c>
      <c r="E15" s="39">
        <v>0.85066549750001108</v>
      </c>
      <c r="F15" s="39">
        <v>0.80745425750001154</v>
      </c>
      <c r="G15" s="39">
        <v>17.989689279999709</v>
      </c>
      <c r="H15" s="40">
        <v>30.741026149999829</v>
      </c>
      <c r="I15" s="40">
        <v>15.029320190000051</v>
      </c>
      <c r="J15" s="40">
        <v>10.23602394500004</v>
      </c>
      <c r="K15" s="40">
        <v>9.9097227774999581</v>
      </c>
      <c r="L15" s="40">
        <v>9.5910072400000281</v>
      </c>
      <c r="M15" s="40">
        <v>49.878924409999613</v>
      </c>
      <c r="N15" s="39">
        <v>46.888466312500043</v>
      </c>
      <c r="O15" s="39">
        <v>26.488982852499909</v>
      </c>
      <c r="P15" s="39">
        <v>19.852609372499927</v>
      </c>
      <c r="Q15" s="39">
        <v>19.333037437499858</v>
      </c>
      <c r="R15" s="39">
        <v>18.864508690000029</v>
      </c>
      <c r="S15" s="47">
        <v>68.920724052499637</v>
      </c>
      <c r="T15" s="40">
        <v>67.672268689999996</v>
      </c>
      <c r="U15" s="40">
        <v>42.870012084999949</v>
      </c>
      <c r="V15" s="40">
        <v>34.379868827499948</v>
      </c>
      <c r="W15" s="40">
        <v>33.736255242499929</v>
      </c>
      <c r="X15" s="40">
        <v>33.094371599999867</v>
      </c>
      <c r="Y15" s="40">
        <v>90.263244664999618</v>
      </c>
      <c r="Z15" s="41">
        <v>93.56173064699999</v>
      </c>
      <c r="AA15" s="41">
        <v>65.653330409999995</v>
      </c>
      <c r="AB15" s="41">
        <v>55.591879587999998</v>
      </c>
      <c r="AC15" s="41">
        <v>54.779048979999999</v>
      </c>
      <c r="AD15" s="41">
        <v>53.980193432999997</v>
      </c>
      <c r="AE15" s="41">
        <v>119.46862708799999</v>
      </c>
      <c r="AF15" s="42">
        <v>137.92978644499999</v>
      </c>
      <c r="AG15" s="42">
        <v>101.280012133</v>
      </c>
      <c r="AH15" s="42">
        <v>88.145253397999994</v>
      </c>
      <c r="AI15" s="42">
        <v>87.115270944999992</v>
      </c>
      <c r="AJ15" s="42">
        <v>86.128719905000011</v>
      </c>
      <c r="AK15" s="42">
        <v>167.444021322</v>
      </c>
      <c r="AL15" s="41">
        <v>159.42904477499999</v>
      </c>
      <c r="AM15" s="41">
        <v>119.12775826999999</v>
      </c>
      <c r="AN15" s="41">
        <v>104.53894255</v>
      </c>
      <c r="AO15" s="41">
        <v>103.443969298</v>
      </c>
      <c r="AP15" s="41">
        <v>102.31048656999999</v>
      </c>
      <c r="AQ15" s="41">
        <v>190.802425505</v>
      </c>
      <c r="AR15" s="42">
        <v>190.35345042999998</v>
      </c>
      <c r="AS15" s="42">
        <v>144.53760646999999</v>
      </c>
      <c r="AT15" s="42">
        <v>128.04544132999999</v>
      </c>
      <c r="AU15" s="42">
        <v>126.74675660999999</v>
      </c>
      <c r="AV15" s="42">
        <v>125.431026648</v>
      </c>
      <c r="AW15" s="42">
        <v>223.37646502000001</v>
      </c>
    </row>
    <row r="16" spans="1:49" x14ac:dyDescent="0.25">
      <c r="A16" s="32">
        <v>0.14583333333333334</v>
      </c>
      <c r="B16" s="39">
        <v>7.6527836549999639</v>
      </c>
      <c r="C16" s="39">
        <v>1.6636992275000471</v>
      </c>
      <c r="D16" s="39">
        <v>0.77058159250005342</v>
      </c>
      <c r="E16" s="39">
        <v>0.73066090750005075</v>
      </c>
      <c r="F16" s="39">
        <v>0.69379578250004748</v>
      </c>
      <c r="G16" s="39">
        <v>17.458018062499821</v>
      </c>
      <c r="H16" s="40">
        <v>30.01290485249968</v>
      </c>
      <c r="I16" s="40">
        <v>13.972757565000002</v>
      </c>
      <c r="J16" s="40">
        <v>9.288751102500056</v>
      </c>
      <c r="K16" s="40">
        <v>8.9746045125000329</v>
      </c>
      <c r="L16" s="40">
        <v>8.6676291424999832</v>
      </c>
      <c r="M16" s="40">
        <v>49.590319239999594</v>
      </c>
      <c r="N16" s="39">
        <v>46.087005535000067</v>
      </c>
      <c r="O16" s="39">
        <v>25.320329599999749</v>
      </c>
      <c r="P16" s="39">
        <v>18.69133684249984</v>
      </c>
      <c r="Q16" s="39">
        <v>18.18376428000003</v>
      </c>
      <c r="R16" s="39">
        <v>17.727172552499969</v>
      </c>
      <c r="S16" s="39">
        <v>68.696845817499792</v>
      </c>
      <c r="T16" s="40">
        <v>66.810138600000002</v>
      </c>
      <c r="U16" s="40">
        <v>41.500229372499945</v>
      </c>
      <c r="V16" s="40">
        <v>32.884112112499871</v>
      </c>
      <c r="W16" s="40">
        <v>32.226764219999879</v>
      </c>
      <c r="X16" s="40">
        <v>31.57255012249988</v>
      </c>
      <c r="Y16" s="40">
        <v>88.958406114999704</v>
      </c>
      <c r="Z16" s="41">
        <v>91.293067934999996</v>
      </c>
      <c r="AA16" s="41">
        <v>63.955242373000004</v>
      </c>
      <c r="AB16" s="41">
        <v>53.649305536999996</v>
      </c>
      <c r="AC16" s="41">
        <v>52.820873395</v>
      </c>
      <c r="AD16" s="41">
        <v>52.009121165000003</v>
      </c>
      <c r="AE16" s="41">
        <v>117.06983630299999</v>
      </c>
      <c r="AF16" s="42">
        <v>133.61112654999999</v>
      </c>
      <c r="AG16" s="42">
        <v>97.376588519999999</v>
      </c>
      <c r="AH16" s="42">
        <v>84.431282269999997</v>
      </c>
      <c r="AI16" s="42">
        <v>83.427638029999997</v>
      </c>
      <c r="AJ16" s="42">
        <v>82.463757063000003</v>
      </c>
      <c r="AK16" s="42">
        <v>163.183765798</v>
      </c>
      <c r="AL16" s="41">
        <v>154.26588927</v>
      </c>
      <c r="AM16" s="41">
        <v>114.329445515</v>
      </c>
      <c r="AN16" s="41">
        <v>99.829333762999994</v>
      </c>
      <c r="AO16" s="41">
        <v>98.741033689999995</v>
      </c>
      <c r="AP16" s="41">
        <v>97.605285170000002</v>
      </c>
      <c r="AQ16" s="41">
        <v>185.42226120300001</v>
      </c>
      <c r="AR16" s="42">
        <v>183.68169927299999</v>
      </c>
      <c r="AS16" s="42">
        <v>138.48788776000001</v>
      </c>
      <c r="AT16" s="42">
        <v>122.01718289999999</v>
      </c>
      <c r="AU16" s="42">
        <v>120.71749949000001</v>
      </c>
      <c r="AV16" s="42">
        <v>119.40251423299999</v>
      </c>
      <c r="AW16" s="42">
        <v>216.89695353499999</v>
      </c>
    </row>
    <row r="17" spans="1:49" x14ac:dyDescent="0.25">
      <c r="A17" s="32">
        <v>0.15625</v>
      </c>
      <c r="B17" s="39">
        <v>7.2799324475001024</v>
      </c>
      <c r="C17" s="39">
        <v>1.4604066525000041</v>
      </c>
      <c r="D17" s="39">
        <v>0.66757634750001393</v>
      </c>
      <c r="E17" s="39">
        <v>0.63374844499999761</v>
      </c>
      <c r="F17" s="39">
        <v>0.60231938250000716</v>
      </c>
      <c r="G17" s="39">
        <v>16.89286824749988</v>
      </c>
      <c r="H17" s="40">
        <v>29.199160507499769</v>
      </c>
      <c r="I17" s="40">
        <v>12.906153370000059</v>
      </c>
      <c r="J17" s="40">
        <v>8.3635850849999311</v>
      </c>
      <c r="K17" s="40">
        <v>8.0605624250000076</v>
      </c>
      <c r="L17" s="40">
        <v>7.7645841074999655</v>
      </c>
      <c r="M17" s="40">
        <v>49.070853524999556</v>
      </c>
      <c r="N17" s="39">
        <v>45.113119679999926</v>
      </c>
      <c r="O17" s="39">
        <v>24.096302217499908</v>
      </c>
      <c r="P17" s="39">
        <v>17.449569847499912</v>
      </c>
      <c r="Q17" s="39">
        <v>16.953610214999941</v>
      </c>
      <c r="R17" s="39">
        <v>16.502011597499958</v>
      </c>
      <c r="S17" s="39">
        <v>67.934473289999616</v>
      </c>
      <c r="T17" s="40">
        <v>65.522688110000004</v>
      </c>
      <c r="U17" s="40">
        <v>39.957145409999924</v>
      </c>
      <c r="V17" s="40">
        <v>31.24240905749997</v>
      </c>
      <c r="W17" s="40">
        <v>30.585442994999863</v>
      </c>
      <c r="X17" s="40">
        <v>29.935121009999992</v>
      </c>
      <c r="Y17" s="40">
        <v>87.252020574999648</v>
      </c>
      <c r="Z17" s="41">
        <v>88.782254997999999</v>
      </c>
      <c r="AA17" s="41">
        <v>61.766791648000002</v>
      </c>
      <c r="AB17" s="41">
        <v>51.517860625000004</v>
      </c>
      <c r="AC17" s="41">
        <v>50.693807774999996</v>
      </c>
      <c r="AD17" s="41">
        <v>49.884844164999997</v>
      </c>
      <c r="AE17" s="41">
        <v>114.32346057500001</v>
      </c>
      <c r="AF17" s="42">
        <v>129.349080835</v>
      </c>
      <c r="AG17" s="42">
        <v>93.453758123</v>
      </c>
      <c r="AH17" s="42">
        <v>80.630450408000002</v>
      </c>
      <c r="AI17" s="42">
        <v>79.644536482999996</v>
      </c>
      <c r="AJ17" s="42">
        <v>78.694165897999994</v>
      </c>
      <c r="AK17" s="42">
        <v>159.09968370300001</v>
      </c>
      <c r="AL17" s="41">
        <v>149.36127830000001</v>
      </c>
      <c r="AM17" s="41">
        <v>109.50198438299999</v>
      </c>
      <c r="AN17" s="41">
        <v>95.141524302999997</v>
      </c>
      <c r="AO17" s="41">
        <v>94.062419250000005</v>
      </c>
      <c r="AP17" s="41">
        <v>92.935737324999991</v>
      </c>
      <c r="AQ17" s="41">
        <v>180.288314783</v>
      </c>
      <c r="AR17" s="42">
        <v>177.392928455</v>
      </c>
      <c r="AS17" s="42">
        <v>132.486291658</v>
      </c>
      <c r="AT17" s="42">
        <v>116.16017437799999</v>
      </c>
      <c r="AU17" s="42">
        <v>114.883470018</v>
      </c>
      <c r="AV17" s="42">
        <v>113.57328242</v>
      </c>
      <c r="AW17" s="42">
        <v>210.69952376799998</v>
      </c>
    </row>
    <row r="18" spans="1:49" x14ac:dyDescent="0.25">
      <c r="A18" s="32">
        <v>0.16666666666666666</v>
      </c>
      <c r="B18" s="39">
        <v>6.9377224175001304</v>
      </c>
      <c r="C18" s="39">
        <v>1.287142507500034</v>
      </c>
      <c r="D18" s="39">
        <v>0.58310710500005103</v>
      </c>
      <c r="E18" s="39">
        <v>0.55376607500005526</v>
      </c>
      <c r="F18" s="39">
        <v>0.52639064000004965</v>
      </c>
      <c r="G18" s="39">
        <v>16.299329529999859</v>
      </c>
      <c r="H18" s="40">
        <v>28.172761304999881</v>
      </c>
      <c r="I18" s="40">
        <v>11.8672110275</v>
      </c>
      <c r="J18" s="40">
        <v>7.456004077500098</v>
      </c>
      <c r="K18" s="40">
        <v>7.1627421300000442</v>
      </c>
      <c r="L18" s="40">
        <v>6.8765819124999119</v>
      </c>
      <c r="M18" s="40">
        <v>48.320759727499812</v>
      </c>
      <c r="N18" s="39">
        <v>43.955981022499842</v>
      </c>
      <c r="O18" s="39">
        <v>22.6679916024999</v>
      </c>
      <c r="P18" s="39">
        <v>16.067564257500081</v>
      </c>
      <c r="Q18" s="39">
        <v>15.589066657499949</v>
      </c>
      <c r="R18" s="39">
        <v>15.147787784999901</v>
      </c>
      <c r="S18" s="39">
        <v>66.752481627499549</v>
      </c>
      <c r="T18" s="40">
        <v>63.86148266</v>
      </c>
      <c r="U18" s="40">
        <v>38.257549667499873</v>
      </c>
      <c r="V18" s="40">
        <v>29.49799285749987</v>
      </c>
      <c r="W18" s="40">
        <v>28.838345167499948</v>
      </c>
      <c r="X18" s="40">
        <v>28.184077594999831</v>
      </c>
      <c r="Y18" s="40">
        <v>85.355480169999652</v>
      </c>
      <c r="Z18" s="41">
        <v>86.121208975000002</v>
      </c>
      <c r="AA18" s="41">
        <v>59.264447036999996</v>
      </c>
      <c r="AB18" s="41">
        <v>49.131936495000005</v>
      </c>
      <c r="AC18" s="41">
        <v>48.314098125000001</v>
      </c>
      <c r="AD18" s="41">
        <v>47.502597967</v>
      </c>
      <c r="AE18" s="41">
        <v>111.63164362300002</v>
      </c>
      <c r="AF18" s="42">
        <v>125.21170731299999</v>
      </c>
      <c r="AG18" s="42">
        <v>89.563393477999995</v>
      </c>
      <c r="AH18" s="42">
        <v>76.822597895000001</v>
      </c>
      <c r="AI18" s="42">
        <v>75.87063560499999</v>
      </c>
      <c r="AJ18" s="42">
        <v>74.946034135000005</v>
      </c>
      <c r="AK18" s="42">
        <v>154.94923395799998</v>
      </c>
      <c r="AL18" s="41">
        <v>144.38704560799999</v>
      </c>
      <c r="AM18" s="41">
        <v>104.89844045</v>
      </c>
      <c r="AN18" s="41">
        <v>90.602212782999999</v>
      </c>
      <c r="AO18" s="41">
        <v>89.53120509</v>
      </c>
      <c r="AP18" s="41">
        <v>88.408590793000002</v>
      </c>
      <c r="AQ18" s="41">
        <v>175.41201961000002</v>
      </c>
      <c r="AR18" s="42">
        <v>171.40570689500001</v>
      </c>
      <c r="AS18" s="42">
        <v>126.610706355</v>
      </c>
      <c r="AT18" s="42">
        <v>110.49394878</v>
      </c>
      <c r="AU18" s="42">
        <v>109.24226031800001</v>
      </c>
      <c r="AV18" s="42">
        <v>107.952111798</v>
      </c>
      <c r="AW18" s="42">
        <v>204.83952415799999</v>
      </c>
    </row>
    <row r="19" spans="1:49" x14ac:dyDescent="0.25">
      <c r="A19" s="32">
        <v>0.17708333333333334</v>
      </c>
      <c r="B19" s="39">
        <v>6.6214749625001437</v>
      </c>
      <c r="C19" s="39">
        <v>1.139432507499986</v>
      </c>
      <c r="D19" s="39">
        <v>0.51463440250000325</v>
      </c>
      <c r="E19" s="39">
        <v>0.48906013250002373</v>
      </c>
      <c r="F19" s="39">
        <v>0.4651401525000064</v>
      </c>
      <c r="G19" s="39">
        <v>15.68608395749979</v>
      </c>
      <c r="H19" s="40">
        <v>27.001449669999758</v>
      </c>
      <c r="I19" s="40">
        <v>10.857523000000009</v>
      </c>
      <c r="J19" s="40">
        <v>6.6058369299999029</v>
      </c>
      <c r="K19" s="40">
        <v>6.331254480000017</v>
      </c>
      <c r="L19" s="40">
        <v>6.0682918074999765</v>
      </c>
      <c r="M19" s="40">
        <v>47.36229596749962</v>
      </c>
      <c r="N19" s="39">
        <v>42.641659777500102</v>
      </c>
      <c r="O19" s="39">
        <v>21.122858269999938</v>
      </c>
      <c r="P19" s="39">
        <v>14.671196439999902</v>
      </c>
      <c r="Q19" s="39">
        <v>14.20487706250004</v>
      </c>
      <c r="R19" s="39">
        <v>13.778956809999981</v>
      </c>
      <c r="S19" s="39">
        <v>65.320136382499712</v>
      </c>
      <c r="T19" s="40">
        <v>61.988596420000007</v>
      </c>
      <c r="U19" s="40">
        <v>36.4177533774998</v>
      </c>
      <c r="V19" s="40">
        <v>27.592125784999844</v>
      </c>
      <c r="W19" s="40">
        <v>26.926049762499989</v>
      </c>
      <c r="X19" s="40">
        <v>26.267015707499841</v>
      </c>
      <c r="Y19" s="40">
        <v>83.386901074999713</v>
      </c>
      <c r="Z19" s="41">
        <v>83.4831255</v>
      </c>
      <c r="AA19" s="41">
        <v>56.640214118000003</v>
      </c>
      <c r="AB19" s="41">
        <v>46.633777672000001</v>
      </c>
      <c r="AC19" s="41">
        <v>45.830159070000001</v>
      </c>
      <c r="AD19" s="41">
        <v>45.028025712000002</v>
      </c>
      <c r="AE19" s="41">
        <v>108.814224978</v>
      </c>
      <c r="AF19" s="42">
        <v>121.21536747499999</v>
      </c>
      <c r="AG19" s="42">
        <v>85.676170464999998</v>
      </c>
      <c r="AH19" s="42">
        <v>73.174931029999996</v>
      </c>
      <c r="AI19" s="42">
        <v>72.227560754999999</v>
      </c>
      <c r="AJ19" s="42">
        <v>71.300980312999997</v>
      </c>
      <c r="AK19" s="42">
        <v>150.85689169299999</v>
      </c>
      <c r="AL19" s="41">
        <v>139.660077675</v>
      </c>
      <c r="AM19" s="41">
        <v>100.440016028</v>
      </c>
      <c r="AN19" s="41">
        <v>86.205345600000001</v>
      </c>
      <c r="AO19" s="41">
        <v>85.137804403000004</v>
      </c>
      <c r="AP19" s="41">
        <v>84.028151690000001</v>
      </c>
      <c r="AQ19" s="41">
        <v>170.83659553799998</v>
      </c>
      <c r="AR19" s="42">
        <v>165.74949662500001</v>
      </c>
      <c r="AS19" s="42">
        <v>121.245680943</v>
      </c>
      <c r="AT19" s="42">
        <v>105.30825018</v>
      </c>
      <c r="AU19" s="42">
        <v>104.062472805</v>
      </c>
      <c r="AV19" s="42">
        <v>102.772832028</v>
      </c>
      <c r="AW19" s="42">
        <v>199.143662538</v>
      </c>
    </row>
    <row r="20" spans="1:49" x14ac:dyDescent="0.25">
      <c r="A20" s="32">
        <v>0.1875</v>
      </c>
      <c r="B20" s="39">
        <v>6.3253454225000549</v>
      </c>
      <c r="C20" s="39">
        <v>1.0134596700000129</v>
      </c>
      <c r="D20" s="39">
        <v>0.45764778500002878</v>
      </c>
      <c r="E20" s="39">
        <v>0.43539702000002944</v>
      </c>
      <c r="F20" s="39">
        <v>0.41488283500003337</v>
      </c>
      <c r="G20" s="39">
        <v>15.073104047499831</v>
      </c>
      <c r="H20" s="40">
        <v>25.818489952499821</v>
      </c>
      <c r="I20" s="40">
        <v>9.8828354675000618</v>
      </c>
      <c r="J20" s="40">
        <v>5.9600361800000679</v>
      </c>
      <c r="K20" s="40">
        <v>5.7132995724999756</v>
      </c>
      <c r="L20" s="40">
        <v>5.4753360874999339</v>
      </c>
      <c r="M20" s="40">
        <v>46.310611502499739</v>
      </c>
      <c r="N20" s="39">
        <v>41.24602418249971</v>
      </c>
      <c r="O20" s="39">
        <v>19.603364849999892</v>
      </c>
      <c r="P20" s="39">
        <v>13.324245540000058</v>
      </c>
      <c r="Q20" s="39">
        <v>12.885363292500129</v>
      </c>
      <c r="R20" s="39">
        <v>12.47830656249994</v>
      </c>
      <c r="S20" s="39">
        <v>63.811206382499563</v>
      </c>
      <c r="T20" s="40">
        <v>60.082416760000001</v>
      </c>
      <c r="U20" s="40">
        <v>34.535913599999901</v>
      </c>
      <c r="V20" s="40">
        <v>25.64110639499993</v>
      </c>
      <c r="W20" s="40">
        <v>24.986370562499882</v>
      </c>
      <c r="X20" s="40">
        <v>24.34106191499982</v>
      </c>
      <c r="Y20" s="40">
        <v>81.389833304999513</v>
      </c>
      <c r="Z20" s="41">
        <v>80.855743443000009</v>
      </c>
      <c r="AA20" s="41">
        <v>54.070710906999999</v>
      </c>
      <c r="AB20" s="41">
        <v>44.187648859999996</v>
      </c>
      <c r="AC20" s="41">
        <v>43.401832052000003</v>
      </c>
      <c r="AD20" s="41">
        <v>42.614264299999995</v>
      </c>
      <c r="AE20" s="41">
        <v>105.91345013300001</v>
      </c>
      <c r="AF20" s="42">
        <v>117.311457608</v>
      </c>
      <c r="AG20" s="42">
        <v>81.974558400000006</v>
      </c>
      <c r="AH20" s="42">
        <v>69.550001028000011</v>
      </c>
      <c r="AI20" s="42">
        <v>68.606689130000007</v>
      </c>
      <c r="AJ20" s="42">
        <v>67.682762092999994</v>
      </c>
      <c r="AK20" s="42">
        <v>147.12220921799999</v>
      </c>
      <c r="AL20" s="41">
        <v>135.38756539300002</v>
      </c>
      <c r="AM20" s="41">
        <v>96.073689650000006</v>
      </c>
      <c r="AN20" s="41">
        <v>82.025250823000007</v>
      </c>
      <c r="AO20" s="41">
        <v>80.983122475000002</v>
      </c>
      <c r="AP20" s="41">
        <v>79.896505388000008</v>
      </c>
      <c r="AQ20" s="41">
        <v>166.49256146499999</v>
      </c>
      <c r="AR20" s="42">
        <v>160.58308681</v>
      </c>
      <c r="AS20" s="42">
        <v>116.17990341000001</v>
      </c>
      <c r="AT20" s="42">
        <v>100.22792092799999</v>
      </c>
      <c r="AU20" s="42">
        <v>98.984290008000002</v>
      </c>
      <c r="AV20" s="42">
        <v>97.697373349999992</v>
      </c>
      <c r="AW20" s="42">
        <v>193.64277096500001</v>
      </c>
    </row>
    <row r="21" spans="1:49" x14ac:dyDescent="0.25">
      <c r="A21" s="32">
        <v>0.19791666666666666</v>
      </c>
      <c r="B21" s="39">
        <v>6.0451595850000048</v>
      </c>
      <c r="C21" s="39">
        <v>0.90585325499998448</v>
      </c>
      <c r="D21" s="39">
        <v>0.40991890500000033</v>
      </c>
      <c r="E21" s="39">
        <v>0.39056962500000197</v>
      </c>
      <c r="F21" s="39">
        <v>0.37258907000000868</v>
      </c>
      <c r="G21" s="39">
        <v>14.547022979999918</v>
      </c>
      <c r="H21" s="40">
        <v>24.64252644999987</v>
      </c>
      <c r="I21" s="40">
        <v>9.0565861675001234</v>
      </c>
      <c r="J21" s="40">
        <v>5.4266069674999908</v>
      </c>
      <c r="K21" s="40">
        <v>5.1955045150000458</v>
      </c>
      <c r="L21" s="40">
        <v>4.9731371250000276</v>
      </c>
      <c r="M21" s="40">
        <v>45.221008774999781</v>
      </c>
      <c r="N21" s="39">
        <v>39.77922777749977</v>
      </c>
      <c r="O21" s="39">
        <v>18.107242069999881</v>
      </c>
      <c r="P21" s="39">
        <v>12.06887944749996</v>
      </c>
      <c r="Q21" s="39">
        <v>11.65473486750002</v>
      </c>
      <c r="R21" s="39">
        <v>11.267240810000009</v>
      </c>
      <c r="S21" s="39">
        <v>62.338028617499468</v>
      </c>
      <c r="T21" s="40">
        <v>58.194879150000006</v>
      </c>
      <c r="U21" s="40">
        <v>32.615831114999999</v>
      </c>
      <c r="V21" s="40">
        <v>23.74132696749988</v>
      </c>
      <c r="W21" s="40">
        <v>23.091729114999971</v>
      </c>
      <c r="X21" s="40">
        <v>22.463786192499999</v>
      </c>
      <c r="Y21" s="40">
        <v>79.408742862499764</v>
      </c>
      <c r="Z21" s="41">
        <v>78.215188888</v>
      </c>
      <c r="AA21" s="41">
        <v>51.569541775000005</v>
      </c>
      <c r="AB21" s="41">
        <v>41.854257945000001</v>
      </c>
      <c r="AC21" s="41">
        <v>41.085032947000002</v>
      </c>
      <c r="AD21" s="41">
        <v>40.310385603</v>
      </c>
      <c r="AE21" s="41">
        <v>103.0484893</v>
      </c>
      <c r="AF21" s="42">
        <v>113.392709145</v>
      </c>
      <c r="AG21" s="42">
        <v>78.385705633000001</v>
      </c>
      <c r="AH21" s="42">
        <v>66.022382012999998</v>
      </c>
      <c r="AI21" s="42">
        <v>65.099658180000006</v>
      </c>
      <c r="AJ21" s="42">
        <v>64.196229110000004</v>
      </c>
      <c r="AK21" s="42">
        <v>143.54402340500002</v>
      </c>
      <c r="AL21" s="41">
        <v>131.147890045</v>
      </c>
      <c r="AM21" s="41">
        <v>91.895218029999995</v>
      </c>
      <c r="AN21" s="41">
        <v>78.052593157999993</v>
      </c>
      <c r="AO21" s="41">
        <v>77.020415134999993</v>
      </c>
      <c r="AP21" s="41">
        <v>75.939087236999995</v>
      </c>
      <c r="AQ21" s="41">
        <v>162.32486568799999</v>
      </c>
      <c r="AR21" s="42">
        <v>155.69838418500001</v>
      </c>
      <c r="AS21" s="42">
        <v>111.21597355</v>
      </c>
      <c r="AT21" s="42">
        <v>95.348162563000002</v>
      </c>
      <c r="AU21" s="42">
        <v>94.127435364999997</v>
      </c>
      <c r="AV21" s="42">
        <v>92.867096293000003</v>
      </c>
      <c r="AW21" s="42">
        <v>188.52878031500001</v>
      </c>
    </row>
    <row r="22" spans="1:49" x14ac:dyDescent="0.25">
      <c r="A22" s="32">
        <v>0.20833333333333334</v>
      </c>
      <c r="B22" s="39">
        <v>5.7812086000000527</v>
      </c>
      <c r="C22" s="39">
        <v>0.81260979750002904</v>
      </c>
      <c r="D22" s="39">
        <v>0.3693995850000299</v>
      </c>
      <c r="E22" s="39">
        <v>0.3525517825000361</v>
      </c>
      <c r="F22" s="39">
        <v>0.33700094250003487</v>
      </c>
      <c r="G22" s="39">
        <v>14.170249684999819</v>
      </c>
      <c r="H22" s="40">
        <v>23.459552269999833</v>
      </c>
      <c r="I22" s="40">
        <v>8.396831470000043</v>
      </c>
      <c r="J22" s="40">
        <v>4.9586863575000173</v>
      </c>
      <c r="K22" s="40">
        <v>4.7406568799999764</v>
      </c>
      <c r="L22" s="40">
        <v>4.5319932074999665</v>
      </c>
      <c r="M22" s="40">
        <v>44.081816249999747</v>
      </c>
      <c r="N22" s="39">
        <v>38.279416507500073</v>
      </c>
      <c r="O22" s="39">
        <v>16.67156419999996</v>
      </c>
      <c r="P22" s="39">
        <v>10.90778644250004</v>
      </c>
      <c r="Q22" s="39">
        <v>10.514944979999941</v>
      </c>
      <c r="R22" s="39">
        <v>10.146025687499929</v>
      </c>
      <c r="S22" s="39">
        <v>60.870453987499701</v>
      </c>
      <c r="T22" s="40">
        <v>56.378497660000008</v>
      </c>
      <c r="U22" s="40">
        <v>30.699876167499909</v>
      </c>
      <c r="V22" s="40">
        <v>21.944976657499911</v>
      </c>
      <c r="W22" s="40">
        <v>21.31724690999971</v>
      </c>
      <c r="X22" s="40">
        <v>20.703169992499991</v>
      </c>
      <c r="Y22" s="40">
        <v>77.460529807499569</v>
      </c>
      <c r="Z22" s="41">
        <v>75.640833490000006</v>
      </c>
      <c r="AA22" s="41">
        <v>49.201109981999998</v>
      </c>
      <c r="AB22" s="41">
        <v>39.603403864999997</v>
      </c>
      <c r="AC22" s="41">
        <v>38.843009450000004</v>
      </c>
      <c r="AD22" s="41">
        <v>38.068585409999997</v>
      </c>
      <c r="AE22" s="41">
        <v>100.26129765500001</v>
      </c>
      <c r="AF22" s="42">
        <v>109.565534363</v>
      </c>
      <c r="AG22" s="42">
        <v>74.836881210000001</v>
      </c>
      <c r="AH22" s="42">
        <v>62.685475915000005</v>
      </c>
      <c r="AI22" s="42">
        <v>61.772323557999997</v>
      </c>
      <c r="AJ22" s="42">
        <v>60.871432853000009</v>
      </c>
      <c r="AK22" s="42">
        <v>139.84353362499999</v>
      </c>
      <c r="AL22" s="41">
        <v>126.89344549799999</v>
      </c>
      <c r="AM22" s="41">
        <v>87.885465603</v>
      </c>
      <c r="AN22" s="41">
        <v>74.165759230000006</v>
      </c>
      <c r="AO22" s="41">
        <v>73.140822729999996</v>
      </c>
      <c r="AP22" s="41">
        <v>72.070319458</v>
      </c>
      <c r="AQ22" s="41">
        <v>158.36890833000001</v>
      </c>
      <c r="AR22" s="42">
        <v>151.07534423300001</v>
      </c>
      <c r="AS22" s="42">
        <v>106.32511862999999</v>
      </c>
      <c r="AT22" s="42">
        <v>90.752644235000005</v>
      </c>
      <c r="AU22" s="42">
        <v>89.561964578000001</v>
      </c>
      <c r="AV22" s="42">
        <v>88.329470365000006</v>
      </c>
      <c r="AW22" s="42">
        <v>183.86103149499999</v>
      </c>
    </row>
    <row r="23" spans="1:49" x14ac:dyDescent="0.25">
      <c r="B23" s="34"/>
      <c r="C23" s="34"/>
      <c r="D23" s="34"/>
      <c r="E23" s="34"/>
      <c r="F23" s="34"/>
      <c r="G23" s="34"/>
      <c r="H23" s="35"/>
      <c r="I23" s="35"/>
      <c r="J23" s="35"/>
      <c r="K23" s="35"/>
      <c r="L23" s="35"/>
      <c r="M23" s="35"/>
      <c r="N23" s="34"/>
      <c r="O23" s="34"/>
      <c r="P23" s="34"/>
      <c r="Q23" s="34"/>
      <c r="R23" s="34"/>
      <c r="S23" s="34"/>
      <c r="T23" s="35"/>
      <c r="U23" s="35"/>
      <c r="V23" s="35"/>
      <c r="W23" s="35"/>
      <c r="X23" s="35"/>
      <c r="Y23" s="35"/>
      <c r="Z23" s="34"/>
      <c r="AA23" s="34"/>
      <c r="AB23" s="34"/>
      <c r="AC23" s="34"/>
      <c r="AD23" s="34"/>
      <c r="AE23" s="34"/>
      <c r="AF23" s="35"/>
      <c r="AG23" s="35"/>
      <c r="AH23" s="35"/>
      <c r="AI23" s="35"/>
      <c r="AJ23" s="35"/>
      <c r="AK23" s="35"/>
      <c r="AL23" s="34"/>
      <c r="AM23" s="34"/>
      <c r="AN23" s="34"/>
      <c r="AO23" s="34"/>
      <c r="AP23" s="34"/>
      <c r="AQ23" s="34"/>
      <c r="AR23" s="35"/>
      <c r="AS23" s="35"/>
      <c r="AT23" s="35"/>
      <c r="AU23" s="35"/>
      <c r="AV23" s="35"/>
      <c r="AW23" s="35"/>
    </row>
    <row r="24" spans="1:49" x14ac:dyDescent="0.25">
      <c r="B24" s="34"/>
      <c r="C24" s="34"/>
      <c r="D24" s="34"/>
      <c r="E24" s="34"/>
      <c r="F24" s="34"/>
      <c r="G24" s="34"/>
      <c r="H24" s="35"/>
      <c r="I24" s="35"/>
      <c r="J24" s="35"/>
      <c r="K24" s="35"/>
      <c r="L24" s="35"/>
      <c r="M24" s="35"/>
      <c r="N24" s="34"/>
      <c r="O24" s="34"/>
      <c r="P24" s="34"/>
      <c r="Q24" s="34"/>
      <c r="R24" s="34"/>
      <c r="S24" s="34"/>
      <c r="T24" s="35"/>
      <c r="U24" s="35"/>
      <c r="V24" s="35"/>
      <c r="W24" s="35"/>
      <c r="X24" s="35"/>
      <c r="Y24" s="35"/>
      <c r="Z24" s="34"/>
      <c r="AA24" s="34"/>
      <c r="AB24" s="34"/>
      <c r="AC24" s="34"/>
      <c r="AD24" s="34"/>
      <c r="AE24" s="34"/>
      <c r="AF24" s="35"/>
      <c r="AG24" s="35"/>
      <c r="AH24" s="35"/>
      <c r="AI24" s="35"/>
      <c r="AJ24" s="35"/>
      <c r="AK24" s="35"/>
      <c r="AL24" s="34"/>
      <c r="AM24" s="34"/>
      <c r="AN24" s="34"/>
      <c r="AO24" s="34"/>
      <c r="AP24" s="34"/>
      <c r="AQ24" s="34"/>
      <c r="AR24" s="35"/>
      <c r="AS24" s="35"/>
      <c r="AT24" s="35"/>
      <c r="AU24" s="35"/>
      <c r="AV24" s="35"/>
      <c r="AW24" s="35"/>
    </row>
    <row r="25" spans="1:49" s="31" customFormat="1" ht="14.25" x14ac:dyDescent="0.2">
      <c r="A25" s="36" t="s">
        <v>123</v>
      </c>
      <c r="B25" s="37">
        <f>MAX(B2:B22)</f>
        <v>14.47560552749972</v>
      </c>
      <c r="C25" s="37">
        <f t="shared" ref="C25:AW25" si="0">MAX(C2:C22)</f>
        <v>8.1865679349997436</v>
      </c>
      <c r="D25" s="37">
        <f t="shared" si="0"/>
        <v>5.7319490899997643</v>
      </c>
      <c r="E25" s="37">
        <f t="shared" si="0"/>
        <v>5.5629542499997395</v>
      </c>
      <c r="F25" s="37">
        <f t="shared" si="0"/>
        <v>5.3991282224997335</v>
      </c>
      <c r="G25" s="37">
        <f t="shared" si="0"/>
        <v>20.795259569999438</v>
      </c>
      <c r="H25" s="37">
        <f t="shared" si="0"/>
        <v>37.019222509999466</v>
      </c>
      <c r="I25" s="37">
        <f t="shared" si="0"/>
        <v>27.392013157499832</v>
      </c>
      <c r="J25" s="37">
        <f t="shared" si="0"/>
        <v>23.799736039999829</v>
      </c>
      <c r="K25" s="37">
        <f t="shared" si="0"/>
        <v>23.50857257749983</v>
      </c>
      <c r="L25" s="37">
        <f t="shared" si="0"/>
        <v>23.21937473749988</v>
      </c>
      <c r="M25" s="37">
        <f t="shared" si="0"/>
        <v>49.991723014999721</v>
      </c>
      <c r="N25" s="37">
        <f t="shared" si="0"/>
        <v>51.084844232499584</v>
      </c>
      <c r="O25" s="37">
        <f t="shared" si="0"/>
        <v>39.055018199999687</v>
      </c>
      <c r="P25" s="37">
        <f t="shared" si="0"/>
        <v>35.094782702499749</v>
      </c>
      <c r="Q25" s="37">
        <f t="shared" si="0"/>
        <v>34.776108924999726</v>
      </c>
      <c r="R25" s="37">
        <f t="shared" si="0"/>
        <v>34.458830797499736</v>
      </c>
      <c r="S25" s="37">
        <f t="shared" si="0"/>
        <v>68.920724052499637</v>
      </c>
      <c r="T25" s="37">
        <f t="shared" si="0"/>
        <v>69.043436100000008</v>
      </c>
      <c r="U25" s="37">
        <f t="shared" si="0"/>
        <v>53.95659335999958</v>
      </c>
      <c r="V25" s="37">
        <f t="shared" si="0"/>
        <v>49.495802347499733</v>
      </c>
      <c r="W25" s="37">
        <f t="shared" si="0"/>
        <v>49.142637682499817</v>
      </c>
      <c r="X25" s="37">
        <f t="shared" si="0"/>
        <v>48.792402272499707</v>
      </c>
      <c r="Y25" s="37">
        <f t="shared" si="0"/>
        <v>90.843124179999649</v>
      </c>
      <c r="Z25" s="37">
        <f t="shared" si="0"/>
        <v>97.464348482000005</v>
      </c>
      <c r="AA25" s="37">
        <f t="shared" si="0"/>
        <v>75.630217235000003</v>
      </c>
      <c r="AB25" s="37">
        <f t="shared" si="0"/>
        <v>69.279476145000004</v>
      </c>
      <c r="AC25" s="37">
        <f t="shared" si="0"/>
        <v>68.870007287000007</v>
      </c>
      <c r="AD25" s="37">
        <f t="shared" si="0"/>
        <v>68.463155262000001</v>
      </c>
      <c r="AE25" s="37">
        <f t="shared" si="0"/>
        <v>121.52771331199999</v>
      </c>
      <c r="AF25" s="37">
        <f t="shared" si="0"/>
        <v>148.28103121799998</v>
      </c>
      <c r="AG25" s="37">
        <f t="shared" si="0"/>
        <v>116.486103297</v>
      </c>
      <c r="AH25" s="37">
        <f t="shared" si="0"/>
        <v>106.153180245</v>
      </c>
      <c r="AI25" s="37">
        <f t="shared" si="0"/>
        <v>105.42676770999999</v>
      </c>
      <c r="AJ25" s="37">
        <f t="shared" si="0"/>
        <v>104.660834073</v>
      </c>
      <c r="AK25" s="37">
        <f t="shared" si="0"/>
        <v>174.579399825</v>
      </c>
      <c r="AL25" s="37">
        <f t="shared" si="0"/>
        <v>173.029197385</v>
      </c>
      <c r="AM25" s="37">
        <f t="shared" si="0"/>
        <v>138.50483764000001</v>
      </c>
      <c r="AN25" s="37">
        <f t="shared" si="0"/>
        <v>125.65487930999998</v>
      </c>
      <c r="AO25" s="37">
        <f t="shared" si="0"/>
        <v>124.65582995500002</v>
      </c>
      <c r="AP25" s="37">
        <f t="shared" si="0"/>
        <v>123.76019579199999</v>
      </c>
      <c r="AQ25" s="37">
        <f t="shared" si="0"/>
        <v>199.903874922</v>
      </c>
      <c r="AR25" s="37">
        <f t="shared" si="0"/>
        <v>207.11911528499999</v>
      </c>
      <c r="AS25" s="37">
        <f t="shared" si="0"/>
        <v>169.267337277</v>
      </c>
      <c r="AT25" s="37">
        <f t="shared" si="0"/>
        <v>155.07460802</v>
      </c>
      <c r="AU25" s="37">
        <f t="shared" si="0"/>
        <v>153.960607095</v>
      </c>
      <c r="AV25" s="37">
        <f t="shared" si="0"/>
        <v>152.76367589500001</v>
      </c>
      <c r="AW25" s="37">
        <f t="shared" si="0"/>
        <v>234.88553497999999</v>
      </c>
    </row>
    <row r="27" spans="1:49" x14ac:dyDescent="0.2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49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</row>
    <row r="29" spans="1:49" x14ac:dyDescent="0.2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</row>
    <row r="30" spans="1:49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</row>
    <row r="31" spans="1:49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</row>
    <row r="32" spans="1:49" x14ac:dyDescent="0.2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</row>
    <row r="33" spans="1:49" x14ac:dyDescent="0.25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</row>
    <row r="34" spans="1:49" x14ac:dyDescent="0.2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</row>
    <row r="35" spans="1:49" x14ac:dyDescent="0.2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</row>
    <row r="36" spans="1:49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</row>
    <row r="37" spans="1:49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</row>
    <row r="38" spans="1:49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</row>
    <row r="39" spans="1:49" x14ac:dyDescent="0.2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</row>
    <row r="40" spans="1:49" x14ac:dyDescent="0.2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</row>
    <row r="41" spans="1:49" x14ac:dyDescent="0.2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</row>
    <row r="42" spans="1:49" x14ac:dyDescent="0.25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</row>
    <row r="43" spans="1:49" x14ac:dyDescent="0.2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</row>
    <row r="44" spans="1:49" x14ac:dyDescent="0.2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</row>
    <row r="45" spans="1:49" x14ac:dyDescent="0.2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</row>
    <row r="46" spans="1:49" x14ac:dyDescent="0.2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</row>
    <row r="47" spans="1:49" x14ac:dyDescent="0.2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</row>
    <row r="48" spans="1:49" x14ac:dyDescent="0.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</row>
    <row r="49" spans="1:26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x14ac:dyDescent="0.2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x14ac:dyDescent="0.2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x14ac:dyDescent="0.2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x14ac:dyDescent="0.2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x14ac:dyDescent="0.2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x14ac:dyDescent="0.2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x14ac:dyDescent="0.2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x14ac:dyDescent="0.2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x14ac:dyDescent="0.2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x14ac:dyDescent="0.2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x14ac:dyDescent="0.2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x14ac:dyDescent="0.2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x14ac:dyDescent="0.2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x14ac:dyDescent="0.2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x14ac:dyDescent="0.2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x14ac:dyDescent="0.2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x14ac:dyDescent="0.2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x14ac:dyDescent="0.2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x14ac:dyDescent="0.2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x14ac:dyDescent="0.2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x14ac:dyDescent="0.2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x14ac:dyDescent="0.2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x14ac:dyDescent="0.2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x14ac:dyDescent="0.2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x14ac:dyDescent="0.2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径流结果</vt:lpstr>
      <vt:lpstr>地表积水</vt:lpstr>
      <vt:lpstr>地表积水过程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宁 李</cp:lastModifiedBy>
  <dcterms:created xsi:type="dcterms:W3CDTF">2015-06-05T18:19:34Z</dcterms:created>
  <dcterms:modified xsi:type="dcterms:W3CDTF">2026-05-11T02:58:33Z</dcterms:modified>
</cp:coreProperties>
</file>