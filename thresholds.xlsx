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etter\04Drought_to_flood\Data analysis\"/>
    </mc:Choice>
  </mc:AlternateContent>
  <xr:revisionPtr revIDLastSave="0" documentId="13_ncr:1_{4AD382EC-3A1C-4C8B-BAAD-FD14611B425E}" xr6:coauthVersionLast="47" xr6:coauthVersionMax="47" xr10:uidLastSave="{00000000-0000-0000-0000-000000000000}"/>
  <bookViews>
    <workbookView xWindow="4725" yWindow="555" windowWidth="21495" windowHeight="12990" xr2:uid="{00000000-000D-0000-FFFF-FFFF00000000}"/>
  </bookViews>
  <sheets>
    <sheet name="组合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<sst xmlns="http://schemas.openxmlformats.org/spreadsheetml/2006/main" count="156" uniqueCount="24">
  <si>
    <t>积水点</t>
  </si>
  <si>
    <t>降雨量(mm/3h)</t>
  </si>
  <si>
    <t>最大水深(m)</t>
  </si>
  <si>
    <t>超过0.05m持续时间(min)</t>
  </si>
  <si>
    <t>超过0.15m持续时间(min)</t>
  </si>
  <si>
    <t>超过0.60m持续时间(min)</t>
  </si>
  <si>
    <t>3</t>
  </si>
  <si>
    <t>5</t>
  </si>
  <si>
    <t>北门立交</t>
  </si>
  <si>
    <t>八府庄隧道</t>
  </si>
  <si>
    <t>No Ponding</t>
    <phoneticPr fontId="2" type="noConversion"/>
  </si>
  <si>
    <t>No Waterlogging</t>
    <phoneticPr fontId="2" type="noConversion"/>
  </si>
  <si>
    <t>时间阈值</t>
    <phoneticPr fontId="2" type="noConversion"/>
  </si>
  <si>
    <t>No Defense Failure</t>
    <phoneticPr fontId="2" type="noConversion"/>
  </si>
  <si>
    <t>D0</t>
    <phoneticPr fontId="2" type="noConversion"/>
  </si>
  <si>
    <t>D1</t>
    <phoneticPr fontId="2" type="noConversion"/>
  </si>
  <si>
    <t>D2</t>
    <phoneticPr fontId="2" type="noConversion"/>
  </si>
  <si>
    <t>D3</t>
    <phoneticPr fontId="2" type="noConversion"/>
  </si>
  <si>
    <t>D4</t>
    <phoneticPr fontId="2" type="noConversion"/>
  </si>
  <si>
    <t>D5</t>
    <phoneticPr fontId="2" type="noConversion"/>
  </si>
  <si>
    <t>Exceeds 0.05m duration (min)</t>
    <phoneticPr fontId="2" type="noConversion"/>
  </si>
  <si>
    <t>Exceeds 0.15m duration (min)</t>
    <phoneticPr fontId="2" type="noConversion"/>
  </si>
  <si>
    <t>Exceeds 0.60m duration (min)</t>
    <phoneticPr fontId="2" type="noConversion"/>
  </si>
  <si>
    <t>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</si>
</sst>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b/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Fill="1" applyBorder="1"/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/>
    <xf numFmtId="0" fontId="3" fillId="3" borderId="2" xfId="0" applyFont="1" applyFill="1" applyBorder="1"/>
    <xf numFmtId="0" fontId="3" fillId="0" borderId="0" xfId="0" applyFont="1" applyFill="1"/>
    <xf numFmtId="0" fontId="3" fillId="0" borderId="3" xfId="0" applyFont="1" applyBorder="1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49205860592218"/>
          <c:y val="5.6431161272499752E-2"/>
          <c:w val="0.8095573238421192"/>
          <c:h val="0.76894433745789526"/>
        </c:manualLayout>
      </c:layout>
      <c:scatterChart>
        <c:scatterStyle val="lineMarker"/>
        <c:varyColors val="0"/>
        <c:ser>
          <c:idx val="0"/>
          <c:order val="0"/>
          <c:tx>
            <c:v>D0</c:v>
          </c:tx>
          <c:spPr>
            <a:ln w="19050" cap="rnd" cmpd="sng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6">
                      <a:lumMod val="0"/>
                      <a:lumOff val="100000"/>
                    </a:schemeClr>
                  </a:gs>
                  <a:gs pos="35000">
                    <a:schemeClr val="accent6">
                      <a:lumMod val="0"/>
                      <a:lumOff val="100000"/>
                    </a:schemeClr>
                  </a:gs>
                  <a:gs pos="100000">
                    <a:schemeClr val="accent6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dLbls>
            <c:delete val="1"/>
          </c:dLbls>
          <c:xVal>
            <c:numRef>
              <c:f>组合!$B$2:$B$11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组合!$C$2:$C$11</c:f>
              <c:numCache>
                <c:formatCode>General</c:formatCode>
                <c:ptCount val="10"/>
                <c:pt idx="0">
                  <c:v>5.0000000000000004E-6</c:v>
                </c:pt>
                <c:pt idx="1">
                  <c:v>1.74E-4</c:v>
                </c:pt>
                <c:pt idx="2">
                  <c:v>8.9024000000000006E-2</c:v>
                </c:pt>
                <c:pt idx="3">
                  <c:v>0.30242400000000003</c:v>
                </c:pt>
                <c:pt idx="4">
                  <c:v>0.40422400000000003</c:v>
                </c:pt>
                <c:pt idx="5">
                  <c:v>0.59029699999999996</c:v>
                </c:pt>
                <c:pt idx="6">
                  <c:v>0.57796400000000003</c:v>
                </c:pt>
                <c:pt idx="7">
                  <c:v>0.67583899999999997</c:v>
                </c:pt>
                <c:pt idx="8">
                  <c:v>0.76077899999999998</c:v>
                </c:pt>
                <c:pt idx="9">
                  <c:v>0.82026399999999999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9-4ADD-A9DB-19AAB0EC928E}"/>
            </c:ext>
          </c:extLst>
        </c:ser>
        <c:ser>
          <c:idx val="1"/>
          <c:order val="1"/>
          <c:tx>
            <c:strRef>
              <c:f>组合!$I$1</c:f>
              <c:strCache>
                <c:ptCount val="1"/>
                <c:pt idx="0">
                  <c:v>No Ponding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组合!$B$2:$B$11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组合!$I$2:$I$11</c:f>
              <c:numCache>
                <c:formatCode>General</c:formatCode>
                <c:ptCount val="10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9-4ADD-A9DB-19AAB0EC928E}"/>
            </c:ext>
          </c:extLst>
        </c:ser>
        <c:ser>
          <c:idx val="2"/>
          <c:order val="2"/>
          <c:tx>
            <c:strRef>
              <c:f>组合!$J$1</c:f>
              <c:strCache>
                <c:ptCount val="1"/>
                <c:pt idx="0">
                  <c:v>No Waterlogging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组合!$B$2:$B$11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组合!$J$2:$J$11</c:f>
              <c:numCache>
                <c:formatCode>General</c:formatCode>
                <c:ptCount val="10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9-4ADD-A9DB-19AAB0EC928E}"/>
            </c:ext>
          </c:extLst>
        </c:ser>
        <c:ser>
          <c:idx val="3"/>
          <c:order val="3"/>
          <c:tx>
            <c:strRef>
              <c:f>组合!$K$1</c:f>
              <c:strCache>
                <c:ptCount val="1"/>
                <c:pt idx="0">
                  <c:v>No Defense Failure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199-4ADD-A9DB-19AAB0EC928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199-4ADD-A9DB-19AAB0EC928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199-4ADD-A9DB-19AAB0EC928E}"/>
                </c:ext>
              </c:extLst>
            </c:dLbl>
            <c:dLbl>
              <c:idx val="3"/>
              <c:layout>
                <c:manualLayout>
                  <c:x val="0.32294060237348887"/>
                  <c:y val="0.3811282108826634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0000FF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altLang="zh-CN" sz="1000" b="1">
                        <a:solidFill>
                          <a:srgbClr val="0000FF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No Ponding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FF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3199-4ADD-A9DB-19AAB0EC928E}"/>
                </c:ext>
              </c:extLst>
            </c:dLbl>
            <c:dLbl>
              <c:idx val="4"/>
              <c:layout>
                <c:manualLayout>
                  <c:x val="0.20808371121574989"/>
                  <c:y val="0.2971423116970743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lang="en-US" altLang="zh-CN" sz="1000" b="1" i="0" u="none" strike="noStrike" kern="1200" baseline="0">
                        <a:solidFill>
                          <a:schemeClr val="accent2"/>
                        </a:solidFill>
                        <a:effectLst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altLang="zh-CN" sz="1000" b="1" i="0" u="none" strike="noStrike" baseline="0">
                        <a:solidFill>
                          <a:schemeClr val="accent2"/>
                        </a:solidFill>
                        <a:effectLst/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No Inundation</a:t>
                    </a:r>
                    <a:endParaRPr lang="en-US" altLang="zh-CN" sz="1000" b="1" i="0" u="none" strike="noStrike" kern="1200" baseline="0">
                      <a:solidFill>
                        <a:schemeClr val="accent2"/>
                      </a:solidFill>
                      <a:effectLst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lang="en-US" altLang="zh-CN" sz="1000" b="1" i="0" u="none" strike="noStrike" kern="1200" baseline="0">
                      <a:solidFill>
                        <a:schemeClr val="accent2"/>
                      </a:solidFill>
                      <a:effectLst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39523146156884"/>
                      <c:h val="0.10516517378641696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F-3199-4ADD-A9DB-19AAB0EC928E}"/>
                </c:ext>
              </c:extLst>
            </c:dLbl>
            <c:dLbl>
              <c:idx val="5"/>
              <c:layout>
                <c:manualLayout>
                  <c:x val="-0.45239651562613331"/>
                  <c:y val="-5.515162091601377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00" b="0" i="0" u="none" strike="noStrike" kern="1200" baseline="0">
                        <a:solidFill>
                          <a:srgbClr val="FF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altLang="zh-CN" sz="1000" b="1" i="0" u="none" strike="noStrike" baseline="0">
                        <a:solidFill>
                          <a:srgbClr val="FF0000"/>
                        </a:solidFill>
                        <a:effectLst/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No Loss of Protection</a:t>
                    </a:r>
                    <a:endParaRPr lang="en-US" altLang="zh-CN" sz="1000" b="0" i="0" u="none" strike="noStrike" kern="1200" spc="0" baseline="0">
                      <a:solidFill>
                        <a:srgbClr val="FF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 b="0" i="0" u="none" strike="noStrike" kern="1200" baseline="0">
                      <a:solidFill>
                        <a:srgbClr val="FF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54884201424907"/>
                      <c:h val="7.850609478411223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0-3199-4ADD-A9DB-19AAB0EC928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199-4ADD-A9DB-19AAB0EC928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199-4ADD-A9DB-19AAB0EC928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199-4ADD-A9DB-19AAB0EC928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199-4ADD-A9DB-19AAB0EC92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组合!$B$2:$B$11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组合!$K$2:$K$11</c:f>
              <c:numCache>
                <c:formatCode>General</c:formatCode>
                <c:ptCount val="10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9-4ADD-A9DB-19AAB0EC928E}"/>
            </c:ext>
          </c:extLst>
        </c:ser>
        <c:ser>
          <c:idx val="4"/>
          <c:order val="4"/>
          <c:tx>
            <c:strRef>
              <c:f>组合!$D$1</c:f>
              <c:strCache>
                <c:ptCount val="1"/>
                <c:pt idx="0">
                  <c:v>D1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35000">
                    <a:schemeClr val="accent5">
                      <a:lumMod val="0"/>
                      <a:lumOff val="100000"/>
                    </a:schemeClr>
                  </a:gs>
                  <a:gs pos="100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dLbls>
            <c:delete val="1"/>
          </c:dLbls>
          <c:xVal>
            <c:numRef>
              <c:f>组合!$B$2:$B$11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组合!$D$2:$D$11</c:f>
              <c:numCache>
                <c:formatCode>General</c:formatCode>
                <c:ptCount val="10"/>
                <c:pt idx="0">
                  <c:v>9.9999999999999995E-7</c:v>
                </c:pt>
                <c:pt idx="1">
                  <c:v>1.9999999999999999E-6</c:v>
                </c:pt>
                <c:pt idx="2">
                  <c:v>3.3399999999999999E-4</c:v>
                </c:pt>
                <c:pt idx="3">
                  <c:v>0.154111</c:v>
                </c:pt>
                <c:pt idx="4">
                  <c:v>0.306396</c:v>
                </c:pt>
                <c:pt idx="5">
                  <c:v>0.412157</c:v>
                </c:pt>
                <c:pt idx="6">
                  <c:v>0.45993099999999998</c:v>
                </c:pt>
                <c:pt idx="7">
                  <c:v>0.59084999999999999</c:v>
                </c:pt>
                <c:pt idx="8">
                  <c:v>0.6</c:v>
                </c:pt>
                <c:pt idx="9">
                  <c:v>0.67742800000000003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9-4ADD-A9DB-19AAB0EC928E}"/>
            </c:ext>
          </c:extLst>
        </c:ser>
        <c:ser>
          <c:idx val="5"/>
          <c:order val="5"/>
          <c:tx>
            <c:strRef>
              <c:f>组合!$E$1</c:f>
              <c:strCache>
                <c:ptCount val="1"/>
                <c:pt idx="0">
                  <c:v>D2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6">
                      <a:lumMod val="3000"/>
                      <a:lumOff val="97000"/>
                    </a:schemeClr>
                  </a:gs>
                  <a:gs pos="35000">
                    <a:schemeClr val="accent6">
                      <a:lumMod val="0"/>
                      <a:lumOff val="100000"/>
                    </a:schemeClr>
                  </a:gs>
                  <a:gs pos="100000">
                    <a:schemeClr val="accent6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dLbls>
            <c:delete val="1"/>
          </c:dLbls>
          <c:xVal>
            <c:numRef>
              <c:f>组合!$B$2:$B$11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组合!$E$2:$E$11</c:f>
              <c:numCache>
                <c:formatCode>General</c:formatCode>
                <c:ptCount val="10"/>
                <c:pt idx="0">
                  <c:v>9.9999999999999995E-7</c:v>
                </c:pt>
                <c:pt idx="1">
                  <c:v>1.9999999999999999E-6</c:v>
                </c:pt>
                <c:pt idx="2">
                  <c:v>3.1100000000000002E-4</c:v>
                </c:pt>
                <c:pt idx="3">
                  <c:v>9.0533000000000002E-2</c:v>
                </c:pt>
                <c:pt idx="4">
                  <c:v>0.26160299999999997</c:v>
                </c:pt>
                <c:pt idx="5">
                  <c:v>0.35953200000000002</c:v>
                </c:pt>
                <c:pt idx="6">
                  <c:v>0.38738699999999998</c:v>
                </c:pt>
                <c:pt idx="7">
                  <c:v>0.46107100000000001</c:v>
                </c:pt>
                <c:pt idx="8">
                  <c:v>0.58472400000000002</c:v>
                </c:pt>
                <c:pt idx="9">
                  <c:v>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9-4ADD-A9DB-19AAB0EC928E}"/>
            </c:ext>
          </c:extLst>
        </c:ser>
        <c:ser>
          <c:idx val="6"/>
          <c:order val="6"/>
          <c:tx>
            <c:strRef>
              <c:f>组合!$F$1</c:f>
              <c:strCache>
                <c:ptCount val="1"/>
                <c:pt idx="0">
                  <c:v>D3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noFill/>
              </a:ln>
              <a:effectLst/>
            </c:spPr>
          </c:marker>
          <c:dLbls>
            <c:delete val="1"/>
          </c:dLbls>
          <c:xVal>
            <c:numRef>
              <c:f>组合!$B$2:$B$11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组合!$F$2:$F$11</c:f>
              <c:numCache>
                <c:formatCode>General</c:formatCode>
                <c:ptCount val="10"/>
                <c:pt idx="0">
                  <c:v>1.9999999999999999E-6</c:v>
                </c:pt>
                <c:pt idx="1">
                  <c:v>1.9999999999999999E-6</c:v>
                </c:pt>
                <c:pt idx="2">
                  <c:v>3.0299999999999999E-4</c:v>
                </c:pt>
                <c:pt idx="3">
                  <c:v>0.110912</c:v>
                </c:pt>
                <c:pt idx="4">
                  <c:v>0.25662299999999999</c:v>
                </c:pt>
                <c:pt idx="5">
                  <c:v>0.355906</c:v>
                </c:pt>
                <c:pt idx="6">
                  <c:v>0.39777600000000002</c:v>
                </c:pt>
                <c:pt idx="7">
                  <c:v>0.46072600000000002</c:v>
                </c:pt>
                <c:pt idx="8">
                  <c:v>0.56999999999999995</c:v>
                </c:pt>
                <c:pt idx="9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9-4ADD-A9DB-19AAB0EC928E}"/>
            </c:ext>
          </c:extLst>
        </c:ser>
        <c:ser>
          <c:idx val="7"/>
          <c:order val="7"/>
          <c:tx>
            <c:strRef>
              <c:f>组合!$G$1</c:f>
              <c:strCache>
                <c:ptCount val="1"/>
                <c:pt idx="0">
                  <c:v>D4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>
                <a:noFill/>
              </a:ln>
              <a:effectLst/>
            </c:spPr>
          </c:marker>
          <c:dLbls>
            <c:delete val="1"/>
          </c:dLbls>
          <c:xVal>
            <c:numRef>
              <c:f>组合!$B$2:$B$11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组合!$G$2:$G$11</c:f>
              <c:numCache>
                <c:formatCode>General</c:formatCode>
                <c:ptCount val="10"/>
                <c:pt idx="0">
                  <c:v>9.9999999999999995E-7</c:v>
                </c:pt>
                <c:pt idx="1">
                  <c:v>3.0000000000000001E-6</c:v>
                </c:pt>
                <c:pt idx="2">
                  <c:v>3.0299999999999999E-4</c:v>
                </c:pt>
                <c:pt idx="3">
                  <c:v>7.9130000000000006E-2</c:v>
                </c:pt>
                <c:pt idx="4">
                  <c:v>0.25753199999999998</c:v>
                </c:pt>
                <c:pt idx="5">
                  <c:v>0.35638199999999998</c:v>
                </c:pt>
                <c:pt idx="6">
                  <c:v>0.39296300000000001</c:v>
                </c:pt>
                <c:pt idx="7">
                  <c:v>0.45744899999999999</c:v>
                </c:pt>
                <c:pt idx="8">
                  <c:v>0.56000000000000005</c:v>
                </c:pt>
                <c:pt idx="9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9-4ADD-A9DB-19AAB0EC928E}"/>
            </c:ext>
          </c:extLst>
        </c:ser>
        <c:ser>
          <c:idx val="8"/>
          <c:order val="8"/>
          <c:tx>
            <c:strRef>
              <c:f>组合!$H$1</c:f>
              <c:strCache>
                <c:ptCount val="1"/>
                <c:pt idx="0">
                  <c:v>D5</c:v>
                </c:pt>
              </c:strCache>
            </c:strRef>
          </c:tx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35000">
                    <a:schemeClr val="accent1">
                      <a:lumMod val="0"/>
                      <a:lumOff val="100000"/>
                    </a:schemeClr>
                  </a:gs>
                  <a:gs pos="100000">
                    <a:schemeClr val="accent1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dLbls>
            <c:delete val="1"/>
          </c:dLbls>
          <c:xVal>
            <c:numRef>
              <c:f>组合!$B$2:$B$11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组合!$H$2:$H$11</c:f>
              <c:numCache>
                <c:formatCode>General</c:formatCode>
                <c:ptCount val="10"/>
                <c:pt idx="0">
                  <c:v>5.0000000000000004E-6</c:v>
                </c:pt>
                <c:pt idx="1">
                  <c:v>1.0245000000000001E-2</c:v>
                </c:pt>
                <c:pt idx="2">
                  <c:v>0.25875199999999998</c:v>
                </c:pt>
                <c:pt idx="3">
                  <c:v>0.40645799999999999</c:v>
                </c:pt>
                <c:pt idx="4">
                  <c:v>0.49329499999999998</c:v>
                </c:pt>
                <c:pt idx="5">
                  <c:v>0.59378299999999995</c:v>
                </c:pt>
                <c:pt idx="6">
                  <c:v>0.69215700000000002</c:v>
                </c:pt>
                <c:pt idx="7">
                  <c:v>0.78470099999999998</c:v>
                </c:pt>
                <c:pt idx="8">
                  <c:v>0.83639300000000005</c:v>
                </c:pt>
                <c:pt idx="9">
                  <c:v>0.90221099999999999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9-4ADD-A9DB-19AAB0EC92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6763952"/>
        <c:axId val="126761552"/>
      </c:scatterChart>
      <c:valAx>
        <c:axId val="126763952"/>
        <c:scaling>
          <c:orientation val="minMax"/>
          <c:max val="100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Rainfall</a:t>
                </a: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(mm/3h)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6761552"/>
        <c:crosses val="autoZero"/>
        <c:crossBetween val="midCat"/>
        <c:majorUnit val="10"/>
      </c:valAx>
      <c:valAx>
        <c:axId val="126761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Water Depth (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1886978921957779E-2"/>
              <c:y val="0.259346209713145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676395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72165791776028"/>
          <c:y val="7.8990594925634289E-2"/>
          <c:w val="0.47227865266841645"/>
          <c:h val="0.14001089522160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61095062640107"/>
          <c:y val="5.1827792359288423E-2"/>
          <c:w val="0.78707047236494154"/>
          <c:h val="0.77404247188250919"/>
        </c:manualLayout>
      </c:layout>
      <c:scatterChart>
        <c:scatterStyle val="lineMarker"/>
        <c:varyColors val="0"/>
        <c:ser>
          <c:idx val="4"/>
          <c:order val="0"/>
          <c:tx>
            <c:strRef>
              <c:f>组合!$AE$1</c:f>
              <c:strCache>
                <c:ptCount val="1"/>
                <c:pt idx="0">
                  <c:v>D0</c:v>
                </c:pt>
              </c:strCache>
            </c:strRef>
          </c:tx>
          <c:spPr>
            <a:ln w="19050" cap="rnd" cmpd="sng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6">
                      <a:lumMod val="0"/>
                      <a:lumOff val="100000"/>
                    </a:schemeClr>
                  </a:gs>
                  <a:gs pos="35000">
                    <a:schemeClr val="accent6">
                      <a:lumMod val="0"/>
                      <a:lumOff val="100000"/>
                    </a:schemeClr>
                  </a:gs>
                  <a:gs pos="100000">
                    <a:schemeClr val="accent6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组合!$U$2:$U$11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组合!$Z$2:$Z$11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105</c:v>
                </c:pt>
                <c:pt idx="3">
                  <c:v>195</c:v>
                </c:pt>
                <c:pt idx="4">
                  <c:v>225</c:v>
                </c:pt>
                <c:pt idx="5">
                  <c:v>225</c:v>
                </c:pt>
                <c:pt idx="6">
                  <c:v>240</c:v>
                </c:pt>
                <c:pt idx="7">
                  <c:v>240</c:v>
                </c:pt>
                <c:pt idx="8">
                  <c:v>240</c:v>
                </c:pt>
                <c:pt idx="9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E2-4D98-A7CF-F6AA129F7F22}"/>
            </c:ext>
          </c:extLst>
        </c:ser>
        <c:ser>
          <c:idx val="5"/>
          <c:order val="1"/>
          <c:tx>
            <c:strRef>
              <c:f>组合!$AC$1</c:f>
              <c:strCache>
                <c:ptCount val="1"/>
                <c:pt idx="0">
                  <c:v>时间阈值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FE2-4D98-A7CF-F6AA129F7F2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FE2-4D98-A7CF-F6AA129F7F2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FE2-4D98-A7CF-F6AA129F7F2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FE2-4D98-A7CF-F6AA129F7F2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FE2-4D98-A7CF-F6AA129F7F2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FE2-4D98-A7CF-F6AA129F7F2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E2-4D98-A7CF-F6AA129F7F2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FE2-4D98-A7CF-F6AA129F7F22}"/>
                </c:ext>
              </c:extLst>
            </c:dLbl>
            <c:dLbl>
              <c:idx val="8"/>
              <c:layout>
                <c:manualLayout>
                  <c:x val="-5.5730850871498365E-2"/>
                  <c:y val="-5.998468941382327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50" b="1" i="0" u="none" strike="noStrike" kern="1200" baseline="0">
                        <a:solidFill>
                          <a:srgbClr val="FF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altLang="zh-CN" sz="1050" b="1" i="0" u="none" strike="noStrike" baseline="0">
                        <a:solidFill>
                          <a:srgbClr val="FF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Duration Threshold (60 min)</a:t>
                    </a:r>
                    <a:endParaRPr lang="en-US" altLang="zh-CN" sz="1050" b="1">
                      <a:solidFill>
                        <a:srgbClr val="FF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50" b="1" i="0" u="none" strike="noStrike" kern="1200" baseline="0">
                      <a:solidFill>
                        <a:srgbClr val="FF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937923716478599"/>
                      <c:h val="0.1006014873140857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1-CFE2-4D98-A7CF-F6AA129F7F2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FE2-4D98-A7CF-F6AA129F7F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组合!$U$2:$U$11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组合!$AC$2:$AC$11</c:f>
              <c:numCache>
                <c:formatCode>General</c:formatCode>
                <c:ptCount val="10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E2-4D98-A7CF-F6AA129F7F22}"/>
            </c:ext>
          </c:extLst>
        </c:ser>
        <c:ser>
          <c:idx val="0"/>
          <c:order val="2"/>
          <c:tx>
            <c:strRef>
              <c:f>组合!$AF$1</c:f>
              <c:strCache>
                <c:ptCount val="1"/>
                <c:pt idx="0">
                  <c:v>D1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35000">
                    <a:schemeClr val="accent5">
                      <a:lumMod val="0"/>
                      <a:lumOff val="100000"/>
                    </a:schemeClr>
                  </a:gs>
                  <a:gs pos="100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组合!$U$12:$U$21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组合!$Z$12:$Z$21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E2-4D98-A7CF-F6AA129F7F22}"/>
            </c:ext>
          </c:extLst>
        </c:ser>
        <c:ser>
          <c:idx val="1"/>
          <c:order val="3"/>
          <c:tx>
            <c:strRef>
              <c:f>组合!$AG$1</c:f>
              <c:strCache>
                <c:ptCount val="1"/>
                <c:pt idx="0">
                  <c:v>D2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6">
                      <a:lumMod val="0"/>
                      <a:lumOff val="100000"/>
                    </a:schemeClr>
                  </a:gs>
                  <a:gs pos="35000">
                    <a:schemeClr val="accent6">
                      <a:lumMod val="0"/>
                      <a:lumOff val="100000"/>
                    </a:schemeClr>
                  </a:gs>
                  <a:gs pos="100000">
                    <a:schemeClr val="accent6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组合!$U$12:$U$21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组合!$Z$22:$Z$31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90</c:v>
                </c:pt>
                <c:pt idx="4">
                  <c:v>180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E2-4D98-A7CF-F6AA129F7F22}"/>
            </c:ext>
          </c:extLst>
        </c:ser>
        <c:ser>
          <c:idx val="2"/>
          <c:order val="4"/>
          <c:tx>
            <c:strRef>
              <c:f>组合!$AH$1</c:f>
              <c:strCache>
                <c:ptCount val="1"/>
                <c:pt idx="0">
                  <c:v>D3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组合!$U$32:$U$41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组合!$Z$32:$Z$41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180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E2-4D98-A7CF-F6AA129F7F22}"/>
            </c:ext>
          </c:extLst>
        </c:ser>
        <c:ser>
          <c:idx val="3"/>
          <c:order val="5"/>
          <c:tx>
            <c:strRef>
              <c:f>组合!$AI$1</c:f>
              <c:strCache>
                <c:ptCount val="1"/>
                <c:pt idx="0">
                  <c:v>D4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46000">
                    <a:schemeClr val="accent2">
                      <a:lumMod val="95000"/>
                      <a:lumOff val="5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组合!$U$12:$U$21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组合!$Z$42:$Z$51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  <c:pt idx="4">
                  <c:v>180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E2-4D98-A7CF-F6AA129F7F22}"/>
            </c:ext>
          </c:extLst>
        </c:ser>
        <c:ser>
          <c:idx val="6"/>
          <c:order val="6"/>
          <c:tx>
            <c:strRef>
              <c:f>组合!$AJ$1</c:f>
              <c:strCache>
                <c:ptCount val="1"/>
                <c:pt idx="0">
                  <c:v>D5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35000">
                    <a:schemeClr val="accent1">
                      <a:lumMod val="0"/>
                      <a:lumOff val="100000"/>
                    </a:schemeClr>
                  </a:gs>
                  <a:gs pos="100000">
                    <a:schemeClr val="accent1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组合!$U$52:$U$61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组合!$Z$52:$Z$61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210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240</c:v>
                </c:pt>
                <c:pt idx="8">
                  <c:v>240</c:v>
                </c:pt>
                <c:pt idx="9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E2-4D98-A7CF-F6AA129F7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63952"/>
        <c:axId val="126761552"/>
      </c:scatterChart>
      <c:valAx>
        <c:axId val="126763952"/>
        <c:scaling>
          <c:orientation val="minMax"/>
          <c:max val="100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Rainfall</a:t>
                </a: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(mm/3h)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6761552"/>
        <c:crosses val="autoZero"/>
        <c:crossBetween val="midCat"/>
        <c:majorUnit val="10"/>
      </c:valAx>
      <c:valAx>
        <c:axId val="126761552"/>
        <c:scaling>
          <c:orientation val="minMax"/>
          <c:max val="31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baseline="0">
                    <a:effectLst/>
                  </a:rPr>
                  <a:t>Duration </a:t>
                </a:r>
                <a:r>
                  <a:rPr lang="en-US" altLang="zh-CN" sz="1000" b="0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(min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2363431256973935E-2"/>
              <c:y val="0.31525772820064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6763952"/>
        <c:crosses val="autoZero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9352077355785396"/>
          <c:y val="6.1997405494972693E-2"/>
          <c:w val="0.42742363981931042"/>
          <c:h val="0.130666758721933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49211066597215"/>
          <c:y val="5.1827900243497725E-2"/>
          <c:w val="0.80652854426919296"/>
          <c:h val="0.77404247188250919"/>
        </c:manualLayout>
      </c:layout>
      <c:scatterChart>
        <c:scatterStyle val="lineMarker"/>
        <c:varyColors val="0"/>
        <c:ser>
          <c:idx val="4"/>
          <c:order val="0"/>
          <c:tx>
            <c:strRef>
              <c:f>组合!$AE$1</c:f>
              <c:strCache>
                <c:ptCount val="1"/>
                <c:pt idx="0">
                  <c:v>D0</c:v>
                </c:pt>
              </c:strCache>
            </c:strRef>
          </c:tx>
          <c:spPr>
            <a:ln w="19050" cap="rnd" cmpd="sng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6">
                      <a:lumMod val="0"/>
                      <a:lumOff val="100000"/>
                    </a:schemeClr>
                  </a:gs>
                  <a:gs pos="35000">
                    <a:schemeClr val="accent6">
                      <a:lumMod val="0"/>
                      <a:lumOff val="100000"/>
                    </a:schemeClr>
                  </a:gs>
                  <a:gs pos="100000">
                    <a:schemeClr val="accent6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组合!$U$2:$U$11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组合!$AA$2:$AA$11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120</c:v>
                </c:pt>
                <c:pt idx="4">
                  <c:v>180</c:v>
                </c:pt>
                <c:pt idx="5">
                  <c:v>180</c:v>
                </c:pt>
                <c:pt idx="6">
                  <c:v>195</c:v>
                </c:pt>
                <c:pt idx="7">
                  <c:v>210</c:v>
                </c:pt>
                <c:pt idx="8">
                  <c:v>210</c:v>
                </c:pt>
                <c:pt idx="9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36-45AB-83F1-4F7817947301}"/>
            </c:ext>
          </c:extLst>
        </c:ser>
        <c:ser>
          <c:idx val="5"/>
          <c:order val="1"/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36-45AB-83F1-4F781794730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36-45AB-83F1-4F781794730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36-45AB-83F1-4F781794730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36-45AB-83F1-4F781794730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36-45AB-83F1-4F781794730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36-45AB-83F1-4F781794730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36-45AB-83F1-4F781794730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236-45AB-83F1-4F7817947301}"/>
                </c:ext>
              </c:extLst>
            </c:dLbl>
            <c:dLbl>
              <c:idx val="8"/>
              <c:layout>
                <c:manualLayout>
                  <c:x val="-6.823969581484543E-2"/>
                  <c:y val="-4.841048671845194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50" b="1" i="0" u="none" strike="noStrike" kern="1200" baseline="0">
                        <a:solidFill>
                          <a:srgbClr val="FF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altLang="zh-CN" sz="1050" b="1" i="0" u="none" strike="noStrike" baseline="0">
                        <a:solidFill>
                          <a:srgbClr val="FF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Duration Threshold (60 min)</a:t>
                    </a:r>
                    <a:endParaRPr lang="en-US" altLang="zh-CN" sz="1050" b="1">
                      <a:solidFill>
                        <a:srgbClr val="FF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50" b="1" i="0" u="none" strike="noStrike" kern="1200" baseline="0">
                      <a:solidFill>
                        <a:srgbClr val="FF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656456869058202"/>
                      <c:h val="9.597192138772639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5236-45AB-83F1-4F781794730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236-45AB-83F1-4F7817947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组合!$U$2:$U$11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组合!$AC$2:$AC$11</c:f>
              <c:numCache>
                <c:formatCode>General</c:formatCode>
                <c:ptCount val="10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236-45AB-83F1-4F7817947301}"/>
            </c:ext>
          </c:extLst>
        </c:ser>
        <c:ser>
          <c:idx val="0"/>
          <c:order val="2"/>
          <c:tx>
            <c:strRef>
              <c:f>组合!$AF$1</c:f>
              <c:strCache>
                <c:ptCount val="1"/>
                <c:pt idx="0">
                  <c:v>D1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35000">
                    <a:schemeClr val="accent5">
                      <a:lumMod val="0"/>
                      <a:lumOff val="100000"/>
                    </a:schemeClr>
                  </a:gs>
                  <a:gs pos="100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组合!$U$12:$U$21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组合!$AA$12:$AA$21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150</c:v>
                </c:pt>
                <c:pt idx="5">
                  <c:v>210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236-45AB-83F1-4F7817947301}"/>
            </c:ext>
          </c:extLst>
        </c:ser>
        <c:ser>
          <c:idx val="1"/>
          <c:order val="3"/>
          <c:tx>
            <c:strRef>
              <c:f>组合!$AG$1</c:f>
              <c:strCache>
                <c:ptCount val="1"/>
                <c:pt idx="0">
                  <c:v>D2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6">
                      <a:lumMod val="0"/>
                      <a:lumOff val="100000"/>
                    </a:schemeClr>
                  </a:gs>
                  <a:gs pos="35000">
                    <a:schemeClr val="accent6">
                      <a:lumMod val="0"/>
                      <a:lumOff val="100000"/>
                    </a:schemeClr>
                  </a:gs>
                  <a:gs pos="100000">
                    <a:schemeClr val="accent6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组合!$U$22:$U$31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组合!$AA$22:$AA$31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150</c:v>
                </c:pt>
                <c:pt idx="5">
                  <c:v>180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236-45AB-83F1-4F7817947301}"/>
            </c:ext>
          </c:extLst>
        </c:ser>
        <c:ser>
          <c:idx val="2"/>
          <c:order val="4"/>
          <c:tx>
            <c:strRef>
              <c:f>组合!$AH$1</c:f>
              <c:strCache>
                <c:ptCount val="1"/>
                <c:pt idx="0">
                  <c:v>D3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组合!$U$32:$U$41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组合!$AA$32:$AA$41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135</c:v>
                </c:pt>
                <c:pt idx="5">
                  <c:v>180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236-45AB-83F1-4F7817947301}"/>
            </c:ext>
          </c:extLst>
        </c:ser>
        <c:ser>
          <c:idx val="3"/>
          <c:order val="5"/>
          <c:tx>
            <c:strRef>
              <c:f>组合!$AI$1</c:f>
              <c:strCache>
                <c:ptCount val="1"/>
                <c:pt idx="0">
                  <c:v>D4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46000">
                    <a:schemeClr val="accent2">
                      <a:lumMod val="95000"/>
                      <a:lumOff val="5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组合!$U$42:$U$51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组合!$AA$42:$AA$51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</c:v>
                </c:pt>
                <c:pt idx="5">
                  <c:v>180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236-45AB-83F1-4F7817947301}"/>
            </c:ext>
          </c:extLst>
        </c:ser>
        <c:ser>
          <c:idx val="6"/>
          <c:order val="6"/>
          <c:tx>
            <c:strRef>
              <c:f>组合!$AJ$1</c:f>
              <c:strCache>
                <c:ptCount val="1"/>
                <c:pt idx="0">
                  <c:v>D5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35000">
                    <a:schemeClr val="accent1">
                      <a:lumMod val="0"/>
                      <a:lumOff val="100000"/>
                    </a:schemeClr>
                  </a:gs>
                  <a:gs pos="100000">
                    <a:schemeClr val="accent1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组合!$U$52:$U$61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组合!$AA$52:$AA$61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120</c:v>
                </c:pt>
                <c:pt idx="3">
                  <c:v>210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236-45AB-83F1-4F7817947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63952"/>
        <c:axId val="126761552"/>
      </c:scatterChart>
      <c:valAx>
        <c:axId val="126763952"/>
        <c:scaling>
          <c:orientation val="minMax"/>
          <c:max val="100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Rainfall</a:t>
                </a: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(mm/3h)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6761552"/>
        <c:crosses val="autoZero"/>
        <c:crossBetween val="midCat"/>
        <c:majorUnit val="10"/>
      </c:valAx>
      <c:valAx>
        <c:axId val="126761552"/>
        <c:scaling>
          <c:orientation val="minMax"/>
          <c:max val="31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baseline="0">
                    <a:effectLst/>
                  </a:rPr>
                  <a:t>Duration </a:t>
                </a:r>
                <a:r>
                  <a:rPr lang="en-US" altLang="zh-CN" sz="1000" b="0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(min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061802879850843E-2"/>
              <c:y val="0.310628071138614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6763952"/>
        <c:crosses val="autoZero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9352077355785396"/>
          <c:y val="6.1997405494972693E-2"/>
          <c:w val="0.42742363981931042"/>
          <c:h val="0.130666758721933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49211066597215"/>
          <c:y val="5.1827900243497725E-2"/>
          <c:w val="0.80652854426919296"/>
          <c:h val="0.76941301013889263"/>
        </c:manualLayout>
      </c:layout>
      <c:scatterChart>
        <c:scatterStyle val="lineMarker"/>
        <c:varyColors val="0"/>
        <c:ser>
          <c:idx val="4"/>
          <c:order val="0"/>
          <c:tx>
            <c:strRef>
              <c:f>组合!$P$2</c:f>
              <c:strCache>
                <c:ptCount val="1"/>
                <c:pt idx="0">
                  <c:v>D0</c:v>
                </c:pt>
              </c:strCache>
            </c:strRef>
          </c:tx>
          <c:spPr>
            <a:ln w="19050" cap="rnd" cmpd="sng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6">
                      <a:lumMod val="0"/>
                      <a:lumOff val="100000"/>
                    </a:schemeClr>
                  </a:gs>
                  <a:gs pos="35000">
                    <a:schemeClr val="accent6">
                      <a:lumMod val="0"/>
                      <a:lumOff val="100000"/>
                    </a:schemeClr>
                  </a:gs>
                  <a:gs pos="100000">
                    <a:schemeClr val="accent6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组合!$U$2:$U$11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组合!$AB$2:$AB$11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</c:v>
                </c:pt>
                <c:pt idx="8">
                  <c:v>90</c:v>
                </c:pt>
                <c:pt idx="9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2B-404F-869C-A6E7C34437B6}"/>
            </c:ext>
          </c:extLst>
        </c:ser>
        <c:ser>
          <c:idx val="5"/>
          <c:order val="1"/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2B-404F-869C-A6E7C34437B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2B-404F-869C-A6E7C34437B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2B-404F-869C-A6E7C34437B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E2B-404F-869C-A6E7C34437B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E2B-404F-869C-A6E7C34437B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E2B-404F-869C-A6E7C34437B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E2B-404F-869C-A6E7C34437B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E2B-404F-869C-A6E7C34437B6}"/>
                </c:ext>
              </c:extLst>
            </c:dLbl>
            <c:dLbl>
              <c:idx val="8"/>
              <c:layout>
                <c:manualLayout>
                  <c:x val="-0.41976590750026099"/>
                  <c:y val="-5.759137368513440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50" b="1" i="0" u="none" strike="noStrike" kern="1200" baseline="0">
                        <a:solidFill>
                          <a:srgbClr val="FF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altLang="zh-CN" sz="1050" b="1" i="0" u="none" strike="noStrike" baseline="0">
                        <a:solidFill>
                          <a:srgbClr val="FF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Duration Threshold (60 min)</a:t>
                    </a:r>
                    <a:endParaRPr lang="en-US" altLang="zh-CN" sz="1050" b="1">
                      <a:solidFill>
                        <a:srgbClr val="FF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50" b="1" i="0" u="none" strike="noStrike" kern="1200" baseline="0">
                      <a:solidFill>
                        <a:srgbClr val="FF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5156452318460188"/>
                      <c:h val="0.1144904179390558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EE2B-404F-869C-A6E7C34437B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E2B-404F-869C-A6E7C34437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组合!$U$2:$U$11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组合!$AC$2:$AC$11</c:f>
              <c:numCache>
                <c:formatCode>General</c:formatCode>
                <c:ptCount val="10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E2B-404F-869C-A6E7C34437B6}"/>
            </c:ext>
          </c:extLst>
        </c:ser>
        <c:ser>
          <c:idx val="0"/>
          <c:order val="2"/>
          <c:tx>
            <c:strRef>
              <c:f>组合!$P$3</c:f>
              <c:strCache>
                <c:ptCount val="1"/>
                <c:pt idx="0">
                  <c:v>D1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35000">
                    <a:schemeClr val="accent5">
                      <a:lumMod val="0"/>
                      <a:lumOff val="100000"/>
                    </a:schemeClr>
                  </a:gs>
                  <a:gs pos="100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组合!$U$12:$U$21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组合!$AB$12:$AB$21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E2B-404F-869C-A6E7C34437B6}"/>
            </c:ext>
          </c:extLst>
        </c:ser>
        <c:ser>
          <c:idx val="1"/>
          <c:order val="3"/>
          <c:tx>
            <c:strRef>
              <c:f>组合!$P$4</c:f>
              <c:strCache>
                <c:ptCount val="1"/>
                <c:pt idx="0">
                  <c:v>D2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6">
                      <a:lumMod val="0"/>
                      <a:lumOff val="100000"/>
                    </a:schemeClr>
                  </a:gs>
                  <a:gs pos="35000">
                    <a:schemeClr val="accent6">
                      <a:lumMod val="0"/>
                      <a:lumOff val="100000"/>
                    </a:schemeClr>
                  </a:gs>
                  <a:gs pos="100000">
                    <a:schemeClr val="accent6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组合!$U$22:$U$31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组合!$AB$22:$AB$31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E2B-404F-869C-A6E7C34437B6}"/>
            </c:ext>
          </c:extLst>
        </c:ser>
        <c:ser>
          <c:idx val="2"/>
          <c:order val="4"/>
          <c:tx>
            <c:strRef>
              <c:f>组合!$P$5</c:f>
              <c:strCache>
                <c:ptCount val="1"/>
                <c:pt idx="0">
                  <c:v>D3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组合!$U$32:$U$41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组合!$AB$32:$AB$41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E2B-404F-869C-A6E7C34437B6}"/>
            </c:ext>
          </c:extLst>
        </c:ser>
        <c:ser>
          <c:idx val="3"/>
          <c:order val="5"/>
          <c:tx>
            <c:strRef>
              <c:f>组合!$P$6</c:f>
              <c:strCache>
                <c:ptCount val="1"/>
                <c:pt idx="0">
                  <c:v>D4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46000">
                    <a:schemeClr val="accent2">
                      <a:lumMod val="95000"/>
                      <a:lumOff val="5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组合!$U$42:$U$51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组合!$AB$42:$AB$51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E2B-404F-869C-A6E7C34437B6}"/>
            </c:ext>
          </c:extLst>
        </c:ser>
        <c:ser>
          <c:idx val="6"/>
          <c:order val="6"/>
          <c:tx>
            <c:strRef>
              <c:f>组合!$P$7</c:f>
              <c:strCache>
                <c:ptCount val="1"/>
                <c:pt idx="0">
                  <c:v>D5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35000">
                    <a:schemeClr val="accent1">
                      <a:lumMod val="0"/>
                      <a:lumOff val="100000"/>
                    </a:schemeClr>
                  </a:gs>
                  <a:gs pos="100000">
                    <a:schemeClr val="accent1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9525">
                <a:noFill/>
              </a:ln>
              <a:effectLst/>
            </c:spPr>
          </c:marker>
          <c:xVal>
            <c:numRef>
              <c:f>组合!$U$52:$U$61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组合!$AB$52:$AB$61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120</c:v>
                </c:pt>
                <c:pt idx="7">
                  <c:v>135</c:v>
                </c:pt>
                <c:pt idx="8">
                  <c:v>150</c:v>
                </c:pt>
                <c:pt idx="9">
                  <c:v>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E2B-404F-869C-A6E7C3443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63952"/>
        <c:axId val="126761552"/>
      </c:scatterChart>
      <c:valAx>
        <c:axId val="126763952"/>
        <c:scaling>
          <c:orientation val="minMax"/>
          <c:max val="100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Rainfall</a:t>
                </a: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(mm/3h)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6761552"/>
        <c:crosses val="autoZero"/>
        <c:crossBetween val="midCat"/>
        <c:majorUnit val="10"/>
      </c:valAx>
      <c:valAx>
        <c:axId val="126761552"/>
        <c:scaling>
          <c:orientation val="minMax"/>
          <c:max val="31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baseline="0">
                    <a:effectLst/>
                  </a:rPr>
                  <a:t>Duration </a:t>
                </a:r>
                <a:r>
                  <a:rPr lang="en-US" altLang="zh-CN" sz="1000" b="0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(min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2353893263342084E-2"/>
              <c:y val="0.319887474441336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6763952"/>
        <c:crosses val="autoZero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9352077355785396"/>
          <c:y val="6.1997405494972693E-2"/>
          <c:w val="0.42742363981931042"/>
          <c:h val="0.130666758721933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610906</xdr:colOff>
      <xdr:row>11</xdr:row>
      <xdr:rowOff>90824</xdr:rowOff>
    </xdr:from>
    <xdr:to>
      <xdr:col>7</xdr:col>
      <xdr:colOff>364722</xdr:colOff>
      <xdr:row>19</xdr:row>
      <xdr:rowOff>313147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6247581B-B439-7402-13FB-0C81F7221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68036</xdr:colOff>
      <xdr:row>11</xdr:row>
      <xdr:rowOff>108857</xdr:rowOff>
    </xdr:from>
    <xdr:to>
      <xdr:col>14</xdr:col>
      <xdr:colOff>535481</xdr:colOff>
      <xdr:row>20</xdr:row>
      <xdr:rowOff>28175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F11DB735-FEC0-4E8E-A1B4-B2C06A0F5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54428</xdr:colOff>
      <xdr:row>20</xdr:row>
      <xdr:rowOff>179613</xdr:rowOff>
    </xdr:from>
    <xdr:to>
      <xdr:col>14</xdr:col>
      <xdr:colOff>544285</xdr:colOff>
      <xdr:row>29</xdr:row>
      <xdr:rowOff>106135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A9A4E298-7FFA-7F5B-B61A-7525CEB98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5602</xdr:colOff>
      <xdr:row>29</xdr:row>
      <xdr:rowOff>266060</xdr:rowOff>
    </xdr:from>
    <xdr:to>
      <xdr:col>14</xdr:col>
      <xdr:colOff>476249</xdr:colOff>
      <xdr:row>38</xdr:row>
      <xdr:rowOff>185377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F51BA9CD-9A2F-A264-591D-8677FFB4A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0.72489</cdr:x>
      <cdr:y>0.68745</cdr:y>
    </cdr:from>
    <cdr:to>
      <cdr:x>0.94191</cdr:x>
      <cdr:y>0.7789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71C835DA-FA61-9D37-7F6A-5FD088B69672}"/>
            </a:ext>
          </a:extLst>
        </cdr:cNvPr>
        <cdr:cNvSpPr txBox="1"/>
      </cdr:nvSpPr>
      <cdr:spPr>
        <a:xfrm xmlns:a="http://schemas.openxmlformats.org/drawingml/2006/main">
          <a:off x="2684538" y="1736454"/>
          <a:ext cx="803724" cy="230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0.72489</cdr:x>
      <cdr:y>0.68745</cdr:y>
    </cdr:from>
    <cdr:to>
      <cdr:x>0.94191</cdr:x>
      <cdr:y>0.7789</cdr:y>
    </cdr:to>
    <cdr:sp macro="" textlink="">
      <cdr:nvSpPr>
        <cdr:cNvPr id="3" name="文本框 1">
          <a:extLst xmlns:a="http://schemas.openxmlformats.org/drawingml/2006/main">
            <a:ext uri="{FF2B5EF4-FFF2-40B4-BE49-F238E27FC236}">
              <a16:creationId xmlns:a16="http://schemas.microsoft.com/office/drawing/2014/main" id="{71C835DA-FA61-9D37-7F6A-5FD088B69672}"/>
            </a:ext>
          </a:extLst>
        </cdr:cNvPr>
        <cdr:cNvSpPr txBox="1"/>
      </cdr:nvSpPr>
      <cdr:spPr>
        <a:xfrm xmlns:a="http://schemas.openxmlformats.org/drawingml/2006/main">
          <a:off x="2684538" y="1736454"/>
          <a:ext cx="803724" cy="230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CN" altLang="en-US" sz="11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纸张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72F1E-770E-4525-AAD9-7F4BB99A0EDD}">
  <dimension ref="A1:AJ62"/>
  <sheetViews>
    <sheetView tabSelected="1" zoomScale="55" zoomScaleNormal="55" workbookViewId="0">
      <selection activeCell="AF25" sqref="AF25"/>
    </sheetView>
  </sheetViews>
  <sheetFormatPr defaultRowHeight="14.25" x14ac:dyDescent="0.2"/>
  <cols>
    <col min="1" max="17" width="9" style="4"/>
    <col min="18" max="19" width="9" style="9"/>
    <col min="20" max="28" width="9" style="4"/>
    <col min="30" max="16384" width="9" style="4"/>
  </cols>
  <sheetData>
    <row r="1" spans="1:36" ht="54" x14ac:dyDescent="0.2">
      <c r="A1" s="2" t="s">
        <v>0</v>
      </c>
      <c r="B1" s="2" t="s">
        <v>1</v>
      </c>
      <c r="C1" s="2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  <c r="I1" t="s">
        <v>10</v>
      </c>
      <c r="J1" t="s">
        <v>11</v>
      </c>
      <c r="K1" t="s">
        <v>13</v>
      </c>
      <c r="L1" s="2" t="s">
        <v>3</v>
      </c>
      <c r="M1" s="2" t="s">
        <v>4</v>
      </c>
      <c r="N1" s="2" t="s">
        <v>5</v>
      </c>
      <c r="O1" s="13"/>
      <c r="P1" s="13"/>
      <c r="Q1" s="13"/>
      <c r="R1" s="11" t="s">
        <v>12</v>
      </c>
      <c r="S1" s="3"/>
      <c r="T1" s="2" t="s">
        <v>0</v>
      </c>
      <c r="U1" s="2" t="s">
        <v>1</v>
      </c>
      <c r="V1" s="2" t="s">
        <v>2</v>
      </c>
      <c r="W1" t="s">
        <v>10</v>
      </c>
      <c r="X1" t="s">
        <v>11</v>
      </c>
      <c r="Y1"/>
      <c r="Z1" s="1" t="s">
        <v>20</v>
      </c>
      <c r="AA1" s="1" t="s">
        <v>21</v>
      </c>
      <c r="AB1" s="1" t="s">
        <v>22</v>
      </c>
      <c r="AC1" s="11" t="s">
        <v>12</v>
      </c>
      <c r="AE1" s="4" t="s">
        <v>14</v>
      </c>
      <c r="AF1" s="4" t="s">
        <v>15</v>
      </c>
      <c r="AG1" s="4" t="s">
        <v>16</v>
      </c>
      <c r="AH1" s="4" t="s">
        <v>17</v>
      </c>
      <c r="AI1" s="15" t="s">
        <v>18</v>
      </c>
      <c r="AJ1" s="4" t="s">
        <v>19</v>
      </c>
    </row>
    <row r="2" spans="1:36" ht="24.75" customHeight="1" x14ac:dyDescent="0.2">
      <c r="A2" s="5" t="s">
        <v>6</v>
      </c>
      <c r="B2" s="6">
        <v>10</v>
      </c>
      <c r="C2" s="6">
        <v>5.0000000000000004E-6</v>
      </c>
      <c r="D2" s="7">
        <v>9.9999999999999995E-7</v>
      </c>
      <c r="E2" s="8">
        <v>9.9999999999999995E-7</v>
      </c>
      <c r="F2" s="7">
        <v>1.9999999999999999E-6</v>
      </c>
      <c r="G2" s="8">
        <v>9.9999999999999995E-7</v>
      </c>
      <c r="H2" s="7">
        <v>5.0000000000000004E-6</v>
      </c>
      <c r="I2">
        <v>0.05</v>
      </c>
      <c r="J2">
        <v>0.15</v>
      </c>
      <c r="K2">
        <v>0.6</v>
      </c>
      <c r="L2" s="6">
        <v>0</v>
      </c>
      <c r="M2" s="6">
        <v>0</v>
      </c>
      <c r="N2" s="6">
        <v>0</v>
      </c>
      <c r="O2" s="14"/>
      <c r="P2" s="4" t="s">
        <v>14</v>
      </c>
      <c r="Q2" s="14"/>
      <c r="R2" s="12">
        <v>60</v>
      </c>
      <c r="S2" s="3"/>
      <c r="T2" s="6" t="s">
        <v>23</v>
      </c>
      <c r="U2" s="6">
        <v>10</v>
      </c>
      <c r="V2" s="6">
        <v>2.1499999999999999E-4</v>
      </c>
      <c r="W2">
        <v>0.05</v>
      </c>
      <c r="X2">
        <v>0.15</v>
      </c>
      <c r="Y2">
        <v>0.6</v>
      </c>
      <c r="Z2" s="6">
        <v>0</v>
      </c>
      <c r="AA2" s="6">
        <v>0</v>
      </c>
      <c r="AB2" s="6">
        <v>0</v>
      </c>
      <c r="AC2" s="12">
        <v>60</v>
      </c>
    </row>
    <row r="3" spans="1:36" ht="24.75" customHeight="1" x14ac:dyDescent="0.2">
      <c r="A3" s="5" t="s">
        <v>6</v>
      </c>
      <c r="B3" s="6">
        <v>20</v>
      </c>
      <c r="C3" s="6">
        <v>1.74E-4</v>
      </c>
      <c r="D3" s="7">
        <v>1.9999999999999999E-6</v>
      </c>
      <c r="E3" s="8">
        <v>1.9999999999999999E-6</v>
      </c>
      <c r="F3" s="7">
        <v>1.9999999999999999E-6</v>
      </c>
      <c r="G3" s="8">
        <v>3.0000000000000001E-6</v>
      </c>
      <c r="H3" s="7">
        <v>1.0245000000000001E-2</v>
      </c>
      <c r="I3">
        <v>0.05</v>
      </c>
      <c r="J3">
        <v>0.15</v>
      </c>
      <c r="K3">
        <v>0.6</v>
      </c>
      <c r="L3" s="6">
        <v>0</v>
      </c>
      <c r="M3" s="6">
        <v>0</v>
      </c>
      <c r="N3" s="6">
        <v>0</v>
      </c>
      <c r="O3" s="14"/>
      <c r="P3" s="4" t="s">
        <v>15</v>
      </c>
      <c r="Q3" s="14"/>
      <c r="R3" s="12">
        <v>60</v>
      </c>
      <c r="S3" s="3"/>
      <c r="T3" s="6" t="s">
        <v>7</v>
      </c>
      <c r="U3" s="6">
        <v>20</v>
      </c>
      <c r="V3" s="6">
        <v>1.5133000000000001E-2</v>
      </c>
      <c r="W3">
        <v>0.05</v>
      </c>
      <c r="X3">
        <v>0.15</v>
      </c>
      <c r="Y3">
        <v>0.6</v>
      </c>
      <c r="Z3" s="6">
        <v>0</v>
      </c>
      <c r="AA3" s="6">
        <v>0</v>
      </c>
      <c r="AB3" s="6">
        <v>0</v>
      </c>
      <c r="AC3" s="12">
        <v>60</v>
      </c>
    </row>
    <row r="4" spans="1:36" ht="24.75" customHeight="1" x14ac:dyDescent="0.2">
      <c r="A4" s="5" t="s">
        <v>6</v>
      </c>
      <c r="B4" s="6">
        <v>30</v>
      </c>
      <c r="C4" s="6">
        <v>8.9024000000000006E-2</v>
      </c>
      <c r="D4" s="7">
        <v>3.3399999999999999E-4</v>
      </c>
      <c r="E4" s="8">
        <v>3.1100000000000002E-4</v>
      </c>
      <c r="F4" s="7">
        <v>3.0299999999999999E-4</v>
      </c>
      <c r="G4" s="8">
        <v>3.0299999999999999E-4</v>
      </c>
      <c r="H4" s="7">
        <v>0.25875199999999998</v>
      </c>
      <c r="I4">
        <v>0.05</v>
      </c>
      <c r="J4">
        <v>0.15</v>
      </c>
      <c r="K4">
        <v>0.6</v>
      </c>
      <c r="L4" s="5">
        <v>90</v>
      </c>
      <c r="M4" s="6">
        <v>0</v>
      </c>
      <c r="N4" s="6">
        <v>0</v>
      </c>
      <c r="O4" s="14"/>
      <c r="P4" s="4" t="s">
        <v>16</v>
      </c>
      <c r="Q4" s="14"/>
      <c r="R4" s="12">
        <v>60</v>
      </c>
      <c r="S4" s="3"/>
      <c r="T4" s="6" t="s">
        <v>7</v>
      </c>
      <c r="U4" s="6">
        <v>30</v>
      </c>
      <c r="V4" s="6">
        <v>0.129858</v>
      </c>
      <c r="W4">
        <v>0.05</v>
      </c>
      <c r="X4">
        <v>0.15</v>
      </c>
      <c r="Y4">
        <v>0.6</v>
      </c>
      <c r="Z4" s="6">
        <v>105</v>
      </c>
      <c r="AA4" s="6">
        <v>0</v>
      </c>
      <c r="AB4" s="6">
        <v>0</v>
      </c>
      <c r="AC4" s="12">
        <v>60</v>
      </c>
    </row>
    <row r="5" spans="1:36" ht="24.75" customHeight="1" x14ac:dyDescent="0.2">
      <c r="A5" s="5" t="s">
        <v>6</v>
      </c>
      <c r="B5" s="6">
        <v>40</v>
      </c>
      <c r="C5" s="6">
        <v>0.30242400000000003</v>
      </c>
      <c r="D5" s="7">
        <v>0.154111</v>
      </c>
      <c r="E5" s="8">
        <v>9.0533000000000002E-2</v>
      </c>
      <c r="F5" s="7">
        <v>0.110912</v>
      </c>
      <c r="G5" s="8">
        <v>7.9130000000000006E-2</v>
      </c>
      <c r="H5" s="7">
        <v>0.40645799999999999</v>
      </c>
      <c r="I5">
        <v>0.05</v>
      </c>
      <c r="J5">
        <v>0.15</v>
      </c>
      <c r="K5">
        <v>0.6</v>
      </c>
      <c r="L5" s="6">
        <v>210</v>
      </c>
      <c r="M5" s="6">
        <v>150</v>
      </c>
      <c r="N5" s="6">
        <v>0</v>
      </c>
      <c r="O5" s="14"/>
      <c r="P5" s="4" t="s">
        <v>17</v>
      </c>
      <c r="Q5" s="14"/>
      <c r="R5" s="12">
        <v>60</v>
      </c>
      <c r="S5" s="3"/>
      <c r="T5" s="6" t="s">
        <v>7</v>
      </c>
      <c r="U5" s="6">
        <v>40</v>
      </c>
      <c r="V5" s="6">
        <v>0.27794099999999999</v>
      </c>
      <c r="W5">
        <v>0.05</v>
      </c>
      <c r="X5">
        <v>0.15</v>
      </c>
      <c r="Y5">
        <v>0.6</v>
      </c>
      <c r="Z5" s="6">
        <v>195</v>
      </c>
      <c r="AA5" s="6">
        <v>120</v>
      </c>
      <c r="AB5" s="6">
        <v>0</v>
      </c>
      <c r="AC5" s="12">
        <v>60</v>
      </c>
    </row>
    <row r="6" spans="1:36" ht="24.75" customHeight="1" x14ac:dyDescent="0.2">
      <c r="A6" s="5" t="s">
        <v>6</v>
      </c>
      <c r="B6" s="6">
        <v>50</v>
      </c>
      <c r="C6" s="6">
        <v>0.40422400000000003</v>
      </c>
      <c r="D6" s="7">
        <v>0.306396</v>
      </c>
      <c r="E6" s="8">
        <v>0.26160299999999997</v>
      </c>
      <c r="F6" s="7">
        <v>0.25662299999999999</v>
      </c>
      <c r="G6" s="8">
        <v>0.25753199999999998</v>
      </c>
      <c r="H6" s="7">
        <v>0.49329499999999998</v>
      </c>
      <c r="I6">
        <v>0.05</v>
      </c>
      <c r="J6">
        <v>0.15</v>
      </c>
      <c r="K6">
        <v>0.6</v>
      </c>
      <c r="L6" s="6">
        <v>225</v>
      </c>
      <c r="M6" s="6">
        <v>210</v>
      </c>
      <c r="N6" s="6">
        <v>0</v>
      </c>
      <c r="O6" s="14"/>
      <c r="P6" s="15" t="s">
        <v>18</v>
      </c>
      <c r="Q6" s="14"/>
      <c r="R6" s="12">
        <v>60</v>
      </c>
      <c r="S6" s="3"/>
      <c r="T6" s="6" t="s">
        <v>7</v>
      </c>
      <c r="U6" s="6">
        <v>50</v>
      </c>
      <c r="V6" s="6">
        <v>0.42287000000000002</v>
      </c>
      <c r="W6">
        <v>0.05</v>
      </c>
      <c r="X6">
        <v>0.15</v>
      </c>
      <c r="Y6">
        <v>0.6</v>
      </c>
      <c r="Z6" s="6">
        <v>225</v>
      </c>
      <c r="AA6" s="6">
        <v>180</v>
      </c>
      <c r="AB6" s="6">
        <v>0</v>
      </c>
      <c r="AC6" s="12">
        <v>60</v>
      </c>
    </row>
    <row r="7" spans="1:36" ht="24.75" customHeight="1" x14ac:dyDescent="0.2">
      <c r="A7" s="5" t="s">
        <v>6</v>
      </c>
      <c r="B7" s="6">
        <v>60</v>
      </c>
      <c r="C7" s="6">
        <v>0.59029699999999996</v>
      </c>
      <c r="D7" s="7">
        <v>0.412157</v>
      </c>
      <c r="E7" s="8">
        <v>0.35953200000000002</v>
      </c>
      <c r="F7" s="7">
        <v>0.355906</v>
      </c>
      <c r="G7" s="8">
        <v>0.35638199999999998</v>
      </c>
      <c r="H7" s="7">
        <v>0.59378299999999995</v>
      </c>
      <c r="I7">
        <v>0.05</v>
      </c>
      <c r="J7">
        <v>0.15</v>
      </c>
      <c r="K7">
        <v>0.6</v>
      </c>
      <c r="L7" s="6">
        <v>225</v>
      </c>
      <c r="M7" s="6">
        <v>225</v>
      </c>
      <c r="N7" s="6">
        <v>0</v>
      </c>
      <c r="O7" s="14"/>
      <c r="P7" s="4" t="s">
        <v>19</v>
      </c>
      <c r="Q7" s="14"/>
      <c r="R7" s="12">
        <v>60</v>
      </c>
      <c r="S7" s="3"/>
      <c r="T7" s="6" t="s">
        <v>7</v>
      </c>
      <c r="U7" s="6">
        <v>60</v>
      </c>
      <c r="V7" s="6">
        <v>0.45685799999999999</v>
      </c>
      <c r="W7">
        <v>0.05</v>
      </c>
      <c r="X7">
        <v>0.15</v>
      </c>
      <c r="Y7">
        <v>0.6</v>
      </c>
      <c r="Z7" s="6">
        <v>225</v>
      </c>
      <c r="AA7" s="6">
        <v>180</v>
      </c>
      <c r="AB7" s="6">
        <v>0</v>
      </c>
      <c r="AC7" s="12">
        <v>60</v>
      </c>
    </row>
    <row r="8" spans="1:36" ht="24.75" customHeight="1" x14ac:dyDescent="0.2">
      <c r="A8" s="5" t="s">
        <v>6</v>
      </c>
      <c r="B8" s="6">
        <v>70</v>
      </c>
      <c r="C8" s="6">
        <v>0.57796400000000003</v>
      </c>
      <c r="D8" s="7">
        <v>0.45993099999999998</v>
      </c>
      <c r="E8" s="8">
        <v>0.38738699999999998</v>
      </c>
      <c r="F8" s="7">
        <v>0.39777600000000002</v>
      </c>
      <c r="G8" s="8">
        <v>0.39296300000000001</v>
      </c>
      <c r="H8" s="7">
        <v>0.69215700000000002</v>
      </c>
      <c r="I8">
        <v>0.05</v>
      </c>
      <c r="J8">
        <v>0.15</v>
      </c>
      <c r="K8">
        <v>0.6</v>
      </c>
      <c r="L8" s="6">
        <v>225</v>
      </c>
      <c r="M8" s="6">
        <v>225</v>
      </c>
      <c r="N8" s="6">
        <v>0</v>
      </c>
      <c r="O8" s="14"/>
      <c r="P8" s="14"/>
      <c r="Q8" s="14"/>
      <c r="R8" s="12">
        <v>60</v>
      </c>
      <c r="S8" s="3"/>
      <c r="T8" s="6" t="s">
        <v>7</v>
      </c>
      <c r="U8" s="6">
        <v>70</v>
      </c>
      <c r="V8" s="6">
        <v>0.50461400000000001</v>
      </c>
      <c r="W8">
        <v>0.05</v>
      </c>
      <c r="X8">
        <v>0.15</v>
      </c>
      <c r="Y8">
        <v>0.6</v>
      </c>
      <c r="Z8" s="6">
        <v>240</v>
      </c>
      <c r="AA8" s="6">
        <v>195</v>
      </c>
      <c r="AB8" s="6">
        <v>0</v>
      </c>
      <c r="AC8" s="12">
        <v>60</v>
      </c>
    </row>
    <row r="9" spans="1:36" ht="24.75" customHeight="1" x14ac:dyDescent="0.2">
      <c r="A9" s="5" t="s">
        <v>6</v>
      </c>
      <c r="B9" s="6">
        <v>80</v>
      </c>
      <c r="C9" s="6">
        <v>0.67583899999999997</v>
      </c>
      <c r="D9" s="7">
        <v>0.59084999999999999</v>
      </c>
      <c r="E9" s="8">
        <v>0.46107100000000001</v>
      </c>
      <c r="F9" s="7">
        <v>0.46072600000000002</v>
      </c>
      <c r="G9" s="8">
        <v>0.45744899999999999</v>
      </c>
      <c r="H9" s="7">
        <v>0.78470099999999998</v>
      </c>
      <c r="I9">
        <v>0.05</v>
      </c>
      <c r="J9">
        <v>0.15</v>
      </c>
      <c r="K9">
        <v>0.6</v>
      </c>
      <c r="L9" s="6">
        <v>225</v>
      </c>
      <c r="M9" s="6">
        <v>225</v>
      </c>
      <c r="N9" s="6">
        <v>120</v>
      </c>
      <c r="O9" s="14"/>
      <c r="P9" s="14"/>
      <c r="Q9" s="14"/>
      <c r="R9" s="12">
        <v>60</v>
      </c>
      <c r="S9" s="3"/>
      <c r="T9" s="6" t="s">
        <v>7</v>
      </c>
      <c r="U9" s="6">
        <v>80</v>
      </c>
      <c r="V9" s="6">
        <v>1.6835039999999999</v>
      </c>
      <c r="W9">
        <v>0.05</v>
      </c>
      <c r="X9">
        <v>0.15</v>
      </c>
      <c r="Y9">
        <v>0.6</v>
      </c>
      <c r="Z9" s="6">
        <v>240</v>
      </c>
      <c r="AA9" s="6">
        <v>210</v>
      </c>
      <c r="AB9" s="6">
        <v>150</v>
      </c>
      <c r="AC9" s="12">
        <v>60</v>
      </c>
    </row>
    <row r="10" spans="1:36" ht="24.75" customHeight="1" x14ac:dyDescent="0.2">
      <c r="A10" s="5" t="s">
        <v>6</v>
      </c>
      <c r="B10" s="6">
        <v>90</v>
      </c>
      <c r="C10" s="6">
        <v>0.76077899999999998</v>
      </c>
      <c r="D10" s="7">
        <v>0.6</v>
      </c>
      <c r="E10" s="8">
        <v>0.58472400000000002</v>
      </c>
      <c r="F10" s="7">
        <v>0.56999999999999995</v>
      </c>
      <c r="G10" s="8">
        <v>0.56000000000000005</v>
      </c>
      <c r="H10" s="7">
        <v>0.83639300000000005</v>
      </c>
      <c r="I10">
        <v>0.05</v>
      </c>
      <c r="J10">
        <v>0.15</v>
      </c>
      <c r="K10">
        <v>0.6</v>
      </c>
      <c r="L10" s="6">
        <v>240</v>
      </c>
      <c r="M10" s="6">
        <v>225</v>
      </c>
      <c r="N10" s="6">
        <v>135</v>
      </c>
      <c r="O10" s="14"/>
      <c r="P10" s="14"/>
      <c r="Q10" s="14"/>
      <c r="R10" s="12">
        <v>60</v>
      </c>
      <c r="S10" s="3"/>
      <c r="T10" s="6" t="s">
        <v>7</v>
      </c>
      <c r="U10" s="6">
        <v>90</v>
      </c>
      <c r="V10" s="6">
        <v>1.6720349999999999</v>
      </c>
      <c r="W10">
        <v>0.05</v>
      </c>
      <c r="X10">
        <v>0.15</v>
      </c>
      <c r="Y10">
        <v>0.6</v>
      </c>
      <c r="Z10" s="6">
        <v>240</v>
      </c>
      <c r="AA10" s="6">
        <v>210</v>
      </c>
      <c r="AB10" s="6">
        <v>90</v>
      </c>
      <c r="AC10" s="12">
        <v>60</v>
      </c>
    </row>
    <row r="11" spans="1:36" ht="24.75" customHeight="1" x14ac:dyDescent="0.2">
      <c r="A11" s="5" t="s">
        <v>6</v>
      </c>
      <c r="B11" s="6">
        <v>100</v>
      </c>
      <c r="C11" s="6">
        <v>0.82026399999999999</v>
      </c>
      <c r="D11" s="7">
        <v>0.67742800000000003</v>
      </c>
      <c r="E11" s="8">
        <v>0.61</v>
      </c>
      <c r="F11" s="7">
        <v>0.6</v>
      </c>
      <c r="G11" s="8">
        <v>0.6</v>
      </c>
      <c r="H11" s="7">
        <v>0.90221099999999999</v>
      </c>
      <c r="I11">
        <v>0.05</v>
      </c>
      <c r="J11">
        <v>0.15</v>
      </c>
      <c r="K11">
        <v>0.6</v>
      </c>
      <c r="L11" s="6">
        <v>240</v>
      </c>
      <c r="M11" s="6">
        <v>225</v>
      </c>
      <c r="N11" s="6">
        <v>150</v>
      </c>
      <c r="O11" s="14"/>
      <c r="P11" s="14"/>
      <c r="Q11" s="14"/>
      <c r="R11" s="12">
        <v>60</v>
      </c>
      <c r="S11" s="3"/>
      <c r="T11" s="6" t="s">
        <v>7</v>
      </c>
      <c r="U11" s="6">
        <v>100</v>
      </c>
      <c r="V11" s="6">
        <v>1.9622090000000001</v>
      </c>
      <c r="W11">
        <v>0.05</v>
      </c>
      <c r="X11">
        <v>0.15</v>
      </c>
      <c r="Y11">
        <v>0.6</v>
      </c>
      <c r="Z11" s="6">
        <v>240</v>
      </c>
      <c r="AA11" s="6">
        <v>225</v>
      </c>
      <c r="AB11" s="6">
        <v>60</v>
      </c>
      <c r="AC11" s="12">
        <v>60</v>
      </c>
    </row>
    <row r="12" spans="1:36" ht="24.75" customHeight="1" x14ac:dyDescent="0.2">
      <c r="A12" s="7" t="s">
        <v>8</v>
      </c>
      <c r="B12" s="7">
        <v>10</v>
      </c>
      <c r="C12" s="7">
        <v>9.9999999999999995E-7</v>
      </c>
      <c r="D12" s="7"/>
      <c r="E12" s="7"/>
      <c r="F12" s="7"/>
      <c r="G12" s="7"/>
      <c r="H12" s="7"/>
      <c r="I12" s="7"/>
      <c r="J12" s="7"/>
      <c r="K12" s="7"/>
      <c r="L12" s="7">
        <v>0</v>
      </c>
      <c r="M12" s="7">
        <v>0</v>
      </c>
      <c r="N12" s="7">
        <v>0</v>
      </c>
      <c r="O12" s="7"/>
      <c r="P12" s="7"/>
      <c r="Q12" s="7"/>
      <c r="R12" s="3"/>
      <c r="S12" s="3"/>
      <c r="T12" s="7" t="s">
        <v>9</v>
      </c>
      <c r="U12" s="7">
        <v>10</v>
      </c>
      <c r="V12" s="7">
        <v>1.9999999999999999E-6</v>
      </c>
      <c r="W12">
        <v>0.05</v>
      </c>
      <c r="X12">
        <v>0.15</v>
      </c>
      <c r="Y12">
        <v>0.6</v>
      </c>
      <c r="Z12" s="7">
        <v>0</v>
      </c>
      <c r="AA12" s="7">
        <v>0</v>
      </c>
      <c r="AB12" s="7">
        <v>0</v>
      </c>
      <c r="AC12" s="12">
        <v>60</v>
      </c>
    </row>
    <row r="13" spans="1:36" ht="24.75" customHeight="1" x14ac:dyDescent="0.2">
      <c r="A13" s="7" t="s">
        <v>8</v>
      </c>
      <c r="B13" s="7">
        <v>20</v>
      </c>
      <c r="C13" s="7">
        <v>1.9999999999999999E-6</v>
      </c>
      <c r="D13" s="7"/>
      <c r="E13" s="7"/>
      <c r="F13" s="7"/>
      <c r="G13" s="7"/>
      <c r="H13" s="7"/>
      <c r="I13" s="7"/>
      <c r="J13" s="7"/>
      <c r="K13" s="7"/>
      <c r="L13" s="7">
        <v>0</v>
      </c>
      <c r="M13" s="7">
        <v>0</v>
      </c>
      <c r="N13" s="7">
        <v>0</v>
      </c>
      <c r="O13" s="7"/>
      <c r="P13" s="7"/>
      <c r="Q13" s="7"/>
      <c r="R13" s="3"/>
      <c r="S13" s="3"/>
      <c r="T13" s="7" t="s">
        <v>9</v>
      </c>
      <c r="U13" s="7">
        <v>20</v>
      </c>
      <c r="V13" s="7">
        <v>5.6010000000000001E-3</v>
      </c>
      <c r="W13">
        <v>0.05</v>
      </c>
      <c r="X13">
        <v>0.15</v>
      </c>
      <c r="Y13">
        <v>0.6</v>
      </c>
      <c r="Z13" s="7">
        <v>0</v>
      </c>
      <c r="AA13" s="7">
        <v>0</v>
      </c>
      <c r="AB13" s="7">
        <v>0</v>
      </c>
      <c r="AC13" s="12">
        <v>60</v>
      </c>
    </row>
    <row r="14" spans="1:36" ht="24.75" customHeight="1" x14ac:dyDescent="0.2">
      <c r="A14" s="7" t="s">
        <v>8</v>
      </c>
      <c r="B14" s="7">
        <v>30</v>
      </c>
      <c r="C14" s="7">
        <v>3.3399999999999999E-4</v>
      </c>
      <c r="D14" s="7"/>
      <c r="E14" s="7"/>
      <c r="F14" s="7"/>
      <c r="G14" s="7"/>
      <c r="H14" s="7"/>
      <c r="I14" s="7"/>
      <c r="J14" s="7"/>
      <c r="K14" s="7"/>
      <c r="L14" s="7">
        <v>0</v>
      </c>
      <c r="M14" s="7">
        <v>0</v>
      </c>
      <c r="N14" s="7">
        <v>0</v>
      </c>
      <c r="O14" s="7"/>
      <c r="P14" s="7"/>
      <c r="Q14" s="7"/>
      <c r="R14" s="3"/>
      <c r="S14" s="3"/>
      <c r="T14" s="7" t="s">
        <v>9</v>
      </c>
      <c r="U14" s="7">
        <v>30</v>
      </c>
      <c r="V14" s="7">
        <v>5.2818999999999998E-2</v>
      </c>
      <c r="W14">
        <v>0.05</v>
      </c>
      <c r="X14">
        <v>0.15</v>
      </c>
      <c r="Y14">
        <v>0.6</v>
      </c>
      <c r="Z14" s="7">
        <v>0</v>
      </c>
      <c r="AA14" s="7">
        <v>0</v>
      </c>
      <c r="AB14" s="7">
        <v>0</v>
      </c>
      <c r="AC14" s="12">
        <v>60</v>
      </c>
    </row>
    <row r="15" spans="1:36" ht="24.75" customHeight="1" x14ac:dyDescent="0.2">
      <c r="A15" s="7" t="s">
        <v>8</v>
      </c>
      <c r="B15" s="7">
        <v>40</v>
      </c>
      <c r="C15" s="7">
        <v>0.154111</v>
      </c>
      <c r="D15" s="7"/>
      <c r="E15" s="7"/>
      <c r="F15" s="7"/>
      <c r="G15" s="7"/>
      <c r="H15" s="7"/>
      <c r="I15" s="7"/>
      <c r="J15" s="7"/>
      <c r="K15" s="7"/>
      <c r="L15" s="7">
        <v>135</v>
      </c>
      <c r="M15" s="7">
        <v>30</v>
      </c>
      <c r="N15" s="7">
        <v>0</v>
      </c>
      <c r="O15" s="7"/>
      <c r="P15" s="7"/>
      <c r="Q15" s="7"/>
      <c r="R15" s="3"/>
      <c r="S15" s="3"/>
      <c r="T15" s="7" t="s">
        <v>9</v>
      </c>
      <c r="U15" s="7">
        <v>40</v>
      </c>
      <c r="V15" s="7">
        <v>0.207342</v>
      </c>
      <c r="W15">
        <v>0.05</v>
      </c>
      <c r="X15">
        <v>0.15</v>
      </c>
      <c r="Y15">
        <v>0.6</v>
      </c>
      <c r="Z15" s="7">
        <v>135</v>
      </c>
      <c r="AA15" s="7">
        <v>30</v>
      </c>
      <c r="AB15" s="7">
        <v>0</v>
      </c>
      <c r="AC15" s="12">
        <v>60</v>
      </c>
    </row>
    <row r="16" spans="1:36" ht="24.75" customHeight="1" x14ac:dyDescent="0.2">
      <c r="A16" s="7" t="s">
        <v>8</v>
      </c>
      <c r="B16" s="7">
        <v>50</v>
      </c>
      <c r="C16" s="7">
        <v>0.306396</v>
      </c>
      <c r="D16" s="7"/>
      <c r="E16" s="7"/>
      <c r="F16" s="7"/>
      <c r="G16" s="7"/>
      <c r="H16" s="7"/>
      <c r="I16" s="7"/>
      <c r="J16" s="7"/>
      <c r="K16" s="7"/>
      <c r="L16" s="7">
        <v>225</v>
      </c>
      <c r="M16" s="7">
        <v>150</v>
      </c>
      <c r="N16" s="7">
        <v>0</v>
      </c>
      <c r="O16" s="7"/>
      <c r="P16" s="7"/>
      <c r="Q16" s="7"/>
      <c r="R16" s="3"/>
      <c r="S16" s="3"/>
      <c r="T16" s="7" t="s">
        <v>9</v>
      </c>
      <c r="U16" s="7">
        <v>50</v>
      </c>
      <c r="V16" s="7">
        <v>0.32993699999999998</v>
      </c>
      <c r="W16">
        <v>0.05</v>
      </c>
      <c r="X16">
        <v>0.15</v>
      </c>
      <c r="Y16">
        <v>0.6</v>
      </c>
      <c r="Z16" s="7">
        <v>225</v>
      </c>
      <c r="AA16" s="7">
        <v>150</v>
      </c>
      <c r="AB16" s="7">
        <v>0</v>
      </c>
      <c r="AC16" s="12">
        <v>60</v>
      </c>
    </row>
    <row r="17" spans="1:29" ht="24.75" customHeight="1" x14ac:dyDescent="0.2">
      <c r="A17" s="7" t="s">
        <v>8</v>
      </c>
      <c r="B17" s="7">
        <v>60</v>
      </c>
      <c r="C17" s="7">
        <v>0.412157</v>
      </c>
      <c r="D17" s="7"/>
      <c r="E17" s="7"/>
      <c r="F17" s="7"/>
      <c r="G17" s="7"/>
      <c r="H17" s="7"/>
      <c r="I17" s="7"/>
      <c r="J17" s="7"/>
      <c r="K17" s="7"/>
      <c r="L17" s="7">
        <v>225</v>
      </c>
      <c r="M17" s="7">
        <v>210</v>
      </c>
      <c r="N17" s="7">
        <v>0</v>
      </c>
      <c r="O17" s="7"/>
      <c r="P17" s="7"/>
      <c r="Q17" s="7"/>
      <c r="R17" s="3"/>
      <c r="S17" s="3"/>
      <c r="T17" s="7" t="s">
        <v>9</v>
      </c>
      <c r="U17" s="7">
        <v>60</v>
      </c>
      <c r="V17" s="7">
        <v>0.45912999999999998</v>
      </c>
      <c r="W17">
        <v>0.05</v>
      </c>
      <c r="X17">
        <v>0.15</v>
      </c>
      <c r="Y17">
        <v>0.6</v>
      </c>
      <c r="Z17" s="7">
        <v>225</v>
      </c>
      <c r="AA17" s="7">
        <v>210</v>
      </c>
      <c r="AB17" s="7">
        <v>0</v>
      </c>
      <c r="AC17" s="12">
        <v>60</v>
      </c>
    </row>
    <row r="18" spans="1:29" ht="24.75" customHeight="1" x14ac:dyDescent="0.2">
      <c r="A18" s="7" t="s">
        <v>8</v>
      </c>
      <c r="B18" s="7">
        <v>70</v>
      </c>
      <c r="C18" s="7">
        <v>0.45993099999999998</v>
      </c>
      <c r="D18" s="7"/>
      <c r="E18" s="7"/>
      <c r="F18" s="7"/>
      <c r="G18" s="7"/>
      <c r="H18" s="7"/>
      <c r="I18" s="7"/>
      <c r="J18" s="7"/>
      <c r="K18" s="7"/>
      <c r="L18" s="7">
        <v>225</v>
      </c>
      <c r="M18" s="7">
        <v>225</v>
      </c>
      <c r="N18" s="7">
        <v>0</v>
      </c>
      <c r="O18" s="7"/>
      <c r="P18" s="7"/>
      <c r="Q18" s="7"/>
      <c r="R18" s="3"/>
      <c r="S18" s="3"/>
      <c r="T18" s="7" t="s">
        <v>9</v>
      </c>
      <c r="U18" s="7">
        <v>70</v>
      </c>
      <c r="V18" s="7">
        <v>0.53693500000000005</v>
      </c>
      <c r="W18">
        <v>0.05</v>
      </c>
      <c r="X18">
        <v>0.15</v>
      </c>
      <c r="Y18">
        <v>0.6</v>
      </c>
      <c r="Z18" s="7">
        <v>225</v>
      </c>
      <c r="AA18" s="7">
        <v>225</v>
      </c>
      <c r="AB18" s="7">
        <v>0</v>
      </c>
      <c r="AC18" s="12">
        <v>60</v>
      </c>
    </row>
    <row r="19" spans="1:29" ht="24.75" customHeight="1" x14ac:dyDescent="0.2">
      <c r="A19" s="7" t="s">
        <v>8</v>
      </c>
      <c r="B19" s="7">
        <v>80</v>
      </c>
      <c r="C19" s="7">
        <v>0.59084999999999999</v>
      </c>
      <c r="D19" s="7"/>
      <c r="E19" s="7"/>
      <c r="F19" s="7"/>
      <c r="G19" s="7"/>
      <c r="H19" s="7"/>
      <c r="I19" s="7"/>
      <c r="J19" s="7"/>
      <c r="K19" s="7"/>
      <c r="L19" s="7">
        <v>225</v>
      </c>
      <c r="M19" s="7">
        <v>225</v>
      </c>
      <c r="N19" s="7">
        <v>0</v>
      </c>
      <c r="O19" s="7"/>
      <c r="P19" s="7"/>
      <c r="Q19" s="7"/>
      <c r="R19" s="3"/>
      <c r="S19" s="3"/>
      <c r="T19" s="7" t="s">
        <v>9</v>
      </c>
      <c r="U19" s="7">
        <v>80</v>
      </c>
      <c r="V19" s="7">
        <v>0.69598000000000004</v>
      </c>
      <c r="W19">
        <v>0.05</v>
      </c>
      <c r="X19">
        <v>0.15</v>
      </c>
      <c r="Y19">
        <v>0.6</v>
      </c>
      <c r="Z19" s="7">
        <v>225</v>
      </c>
      <c r="AA19" s="7">
        <v>225</v>
      </c>
      <c r="AB19" s="7">
        <v>0</v>
      </c>
      <c r="AC19" s="12">
        <v>60</v>
      </c>
    </row>
    <row r="20" spans="1:29" ht="24.75" customHeight="1" x14ac:dyDescent="0.2">
      <c r="A20" s="7" t="s">
        <v>8</v>
      </c>
      <c r="B20" s="7">
        <v>90</v>
      </c>
      <c r="C20" s="7">
        <v>0.6</v>
      </c>
      <c r="D20" s="7"/>
      <c r="E20" s="7"/>
      <c r="F20" s="7"/>
      <c r="G20" s="7"/>
      <c r="H20" s="7"/>
      <c r="I20" s="7"/>
      <c r="J20" s="7"/>
      <c r="K20" s="7"/>
      <c r="L20" s="7">
        <v>225</v>
      </c>
      <c r="M20" s="7">
        <v>225</v>
      </c>
      <c r="N20" s="7">
        <v>0</v>
      </c>
      <c r="O20" s="7"/>
      <c r="P20" s="7"/>
      <c r="Q20" s="7"/>
      <c r="R20" s="3"/>
      <c r="S20" s="3"/>
      <c r="T20" s="7" t="s">
        <v>9</v>
      </c>
      <c r="U20" s="7">
        <v>90</v>
      </c>
      <c r="V20" s="7">
        <v>1.9118999999999999</v>
      </c>
      <c r="W20">
        <v>0.05</v>
      </c>
      <c r="X20">
        <v>0.15</v>
      </c>
      <c r="Y20">
        <v>0.6</v>
      </c>
      <c r="Z20" s="7">
        <v>225</v>
      </c>
      <c r="AA20" s="7">
        <v>225</v>
      </c>
      <c r="AB20" s="7">
        <v>0</v>
      </c>
      <c r="AC20" s="12">
        <v>60</v>
      </c>
    </row>
    <row r="21" spans="1:29" ht="24.75" customHeight="1" x14ac:dyDescent="0.2">
      <c r="A21" s="7" t="s">
        <v>8</v>
      </c>
      <c r="B21" s="7">
        <v>100</v>
      </c>
      <c r="C21" s="7">
        <v>0.67742800000000003</v>
      </c>
      <c r="D21" s="7"/>
      <c r="E21" s="7"/>
      <c r="F21" s="7"/>
      <c r="G21" s="7"/>
      <c r="H21" s="7"/>
      <c r="I21" s="7"/>
      <c r="J21" s="7"/>
      <c r="K21" s="7"/>
      <c r="L21" s="7">
        <v>240</v>
      </c>
      <c r="M21" s="7">
        <v>225</v>
      </c>
      <c r="N21" s="7">
        <v>120</v>
      </c>
      <c r="O21" s="7"/>
      <c r="P21" s="7"/>
      <c r="Q21" s="7"/>
      <c r="R21" s="3"/>
      <c r="S21" s="3"/>
      <c r="T21" s="7" t="s">
        <v>9</v>
      </c>
      <c r="U21" s="7">
        <v>100</v>
      </c>
      <c r="V21" s="7">
        <v>2.0711059999999999</v>
      </c>
      <c r="W21">
        <v>0.05</v>
      </c>
      <c r="X21">
        <v>0.15</v>
      </c>
      <c r="Y21">
        <v>0.6</v>
      </c>
      <c r="Z21" s="7">
        <v>240</v>
      </c>
      <c r="AA21" s="7">
        <v>225</v>
      </c>
      <c r="AB21" s="7">
        <v>120</v>
      </c>
      <c r="AC21" s="12">
        <v>60</v>
      </c>
    </row>
    <row r="22" spans="1:29" ht="24.75" customHeight="1" x14ac:dyDescent="0.2">
      <c r="A22" s="8" t="s">
        <v>8</v>
      </c>
      <c r="B22" s="8">
        <v>10</v>
      </c>
      <c r="C22" s="8">
        <v>9.9999999999999995E-7</v>
      </c>
      <c r="D22" s="8"/>
      <c r="E22" s="8"/>
      <c r="F22" s="8"/>
      <c r="G22" s="8"/>
      <c r="H22" s="8"/>
      <c r="I22" s="8"/>
      <c r="J22" s="8"/>
      <c r="K22" s="8"/>
      <c r="L22" s="8">
        <v>0</v>
      </c>
      <c r="M22" s="8">
        <v>0</v>
      </c>
      <c r="N22" s="8">
        <v>0</v>
      </c>
      <c r="O22" s="8"/>
      <c r="P22" s="8"/>
      <c r="Q22" s="8"/>
      <c r="R22" s="3"/>
      <c r="S22" s="3"/>
      <c r="T22" s="8" t="s">
        <v>9</v>
      </c>
      <c r="U22" s="8">
        <v>10</v>
      </c>
      <c r="V22" s="8">
        <v>1.9999999999999999E-6</v>
      </c>
      <c r="W22">
        <v>0.05</v>
      </c>
      <c r="X22">
        <v>0.15</v>
      </c>
      <c r="Y22">
        <v>0.6</v>
      </c>
      <c r="Z22" s="8">
        <v>0</v>
      </c>
      <c r="AA22" s="8">
        <v>0</v>
      </c>
      <c r="AB22" s="8">
        <v>0</v>
      </c>
      <c r="AC22" s="12">
        <v>60</v>
      </c>
    </row>
    <row r="23" spans="1:29" ht="24.75" customHeight="1" x14ac:dyDescent="0.2">
      <c r="A23" s="8" t="s">
        <v>8</v>
      </c>
      <c r="B23" s="8">
        <v>20</v>
      </c>
      <c r="C23" s="8">
        <v>1.9999999999999999E-6</v>
      </c>
      <c r="D23" s="8"/>
      <c r="E23" s="8"/>
      <c r="F23" s="8"/>
      <c r="G23" s="8"/>
      <c r="H23" s="8"/>
      <c r="I23" s="8"/>
      <c r="J23" s="8"/>
      <c r="K23" s="8"/>
      <c r="L23" s="8">
        <v>0</v>
      </c>
      <c r="M23" s="8">
        <v>0</v>
      </c>
      <c r="N23" s="8">
        <v>0</v>
      </c>
      <c r="O23" s="8"/>
      <c r="P23" s="8"/>
      <c r="Q23" s="8"/>
      <c r="R23" s="3"/>
      <c r="S23" s="3"/>
      <c r="T23" s="8" t="s">
        <v>9</v>
      </c>
      <c r="U23" s="8">
        <v>20</v>
      </c>
      <c r="V23" s="8">
        <v>2.1489999999999999E-3</v>
      </c>
      <c r="W23">
        <v>0.05</v>
      </c>
      <c r="X23">
        <v>0.15</v>
      </c>
      <c r="Y23">
        <v>0.6</v>
      </c>
      <c r="Z23" s="8">
        <v>0</v>
      </c>
      <c r="AA23" s="8">
        <v>0</v>
      </c>
      <c r="AB23" s="8">
        <v>0</v>
      </c>
      <c r="AC23" s="12">
        <v>60</v>
      </c>
    </row>
    <row r="24" spans="1:29" ht="24.75" customHeight="1" x14ac:dyDescent="0.2">
      <c r="A24" s="8" t="s">
        <v>8</v>
      </c>
      <c r="B24" s="8">
        <v>30</v>
      </c>
      <c r="C24" s="8">
        <v>3.1100000000000002E-4</v>
      </c>
      <c r="D24" s="8"/>
      <c r="E24" s="8"/>
      <c r="F24" s="8"/>
      <c r="G24" s="8"/>
      <c r="H24" s="8"/>
      <c r="I24" s="8"/>
      <c r="J24" s="8"/>
      <c r="K24" s="8"/>
      <c r="L24" s="8">
        <v>0</v>
      </c>
      <c r="M24" s="8">
        <v>0</v>
      </c>
      <c r="N24" s="8">
        <v>0</v>
      </c>
      <c r="O24" s="8"/>
      <c r="P24" s="8"/>
      <c r="Q24" s="8"/>
      <c r="R24" s="3"/>
      <c r="S24" s="3"/>
      <c r="T24" s="8" t="s">
        <v>9</v>
      </c>
      <c r="U24" s="8">
        <v>30</v>
      </c>
      <c r="V24" s="8">
        <v>1.4855E-2</v>
      </c>
      <c r="W24">
        <v>0.05</v>
      </c>
      <c r="X24">
        <v>0.15</v>
      </c>
      <c r="Y24">
        <v>0.6</v>
      </c>
      <c r="Z24" s="8">
        <v>0</v>
      </c>
      <c r="AA24" s="8">
        <v>0</v>
      </c>
      <c r="AB24" s="8">
        <v>0</v>
      </c>
      <c r="AC24" s="12">
        <v>60</v>
      </c>
    </row>
    <row r="25" spans="1:29" ht="24.75" customHeight="1" x14ac:dyDescent="0.2">
      <c r="A25" s="8" t="s">
        <v>8</v>
      </c>
      <c r="B25" s="8">
        <v>40</v>
      </c>
      <c r="C25" s="8">
        <v>9.0533000000000002E-2</v>
      </c>
      <c r="D25" s="8"/>
      <c r="E25" s="8"/>
      <c r="F25" s="8"/>
      <c r="G25" s="8"/>
      <c r="H25" s="8"/>
      <c r="I25" s="8"/>
      <c r="J25" s="8"/>
      <c r="K25" s="8"/>
      <c r="L25" s="8">
        <v>90</v>
      </c>
      <c r="M25" s="8">
        <v>0</v>
      </c>
      <c r="N25" s="8">
        <v>0</v>
      </c>
      <c r="O25" s="8"/>
      <c r="P25" s="8"/>
      <c r="Q25" s="8"/>
      <c r="R25" s="3"/>
      <c r="S25" s="3"/>
      <c r="T25" s="8" t="s">
        <v>9</v>
      </c>
      <c r="U25" s="8">
        <v>40</v>
      </c>
      <c r="V25" s="8">
        <v>0.10369100000000001</v>
      </c>
      <c r="W25">
        <v>0.05</v>
      </c>
      <c r="X25">
        <v>0.15</v>
      </c>
      <c r="Y25">
        <v>0.6</v>
      </c>
      <c r="Z25" s="8">
        <v>90</v>
      </c>
      <c r="AA25" s="8">
        <v>0</v>
      </c>
      <c r="AB25" s="8">
        <v>0</v>
      </c>
      <c r="AC25" s="12">
        <v>60</v>
      </c>
    </row>
    <row r="26" spans="1:29" ht="24.75" customHeight="1" x14ac:dyDescent="0.2">
      <c r="A26" s="8" t="s">
        <v>8</v>
      </c>
      <c r="B26" s="8">
        <v>50</v>
      </c>
      <c r="C26" s="8">
        <v>0.26160299999999997</v>
      </c>
      <c r="D26" s="8"/>
      <c r="E26" s="8"/>
      <c r="F26" s="8"/>
      <c r="G26" s="8"/>
      <c r="H26" s="8"/>
      <c r="I26" s="8"/>
      <c r="J26" s="8"/>
      <c r="K26" s="8"/>
      <c r="L26" s="8">
        <v>180</v>
      </c>
      <c r="M26" s="8">
        <v>150</v>
      </c>
      <c r="N26" s="8">
        <v>0</v>
      </c>
      <c r="O26" s="8"/>
      <c r="P26" s="8"/>
      <c r="Q26" s="8"/>
      <c r="R26" s="3"/>
      <c r="S26" s="3"/>
      <c r="T26" s="8" t="s">
        <v>9</v>
      </c>
      <c r="U26" s="8">
        <v>50</v>
      </c>
      <c r="V26" s="8">
        <v>0.28127200000000002</v>
      </c>
      <c r="W26">
        <v>0.05</v>
      </c>
      <c r="X26">
        <v>0.15</v>
      </c>
      <c r="Y26">
        <v>0.6</v>
      </c>
      <c r="Z26" s="8">
        <v>180</v>
      </c>
      <c r="AA26" s="8">
        <v>150</v>
      </c>
      <c r="AB26" s="8">
        <v>0</v>
      </c>
      <c r="AC26" s="12">
        <v>60</v>
      </c>
    </row>
    <row r="27" spans="1:29" ht="24.75" customHeight="1" x14ac:dyDescent="0.2">
      <c r="A27" s="8" t="s">
        <v>8</v>
      </c>
      <c r="B27" s="8">
        <v>60</v>
      </c>
      <c r="C27" s="8">
        <v>0.35953200000000002</v>
      </c>
      <c r="D27" s="8"/>
      <c r="E27" s="8"/>
      <c r="F27" s="8"/>
      <c r="G27" s="8"/>
      <c r="H27" s="8"/>
      <c r="I27" s="8"/>
      <c r="J27" s="8"/>
      <c r="K27" s="8"/>
      <c r="L27" s="8">
        <v>225</v>
      </c>
      <c r="M27" s="8">
        <v>180</v>
      </c>
      <c r="N27" s="8">
        <v>0</v>
      </c>
      <c r="O27" s="8"/>
      <c r="P27" s="8"/>
      <c r="Q27" s="8"/>
      <c r="R27" s="3"/>
      <c r="S27" s="3"/>
      <c r="T27" s="8" t="s">
        <v>9</v>
      </c>
      <c r="U27" s="8">
        <v>60</v>
      </c>
      <c r="V27" s="8">
        <v>0.40852699999999997</v>
      </c>
      <c r="W27">
        <v>0.05</v>
      </c>
      <c r="X27">
        <v>0.15</v>
      </c>
      <c r="Y27">
        <v>0.6</v>
      </c>
      <c r="Z27" s="8">
        <v>225</v>
      </c>
      <c r="AA27" s="8">
        <v>180</v>
      </c>
      <c r="AB27" s="8">
        <v>0</v>
      </c>
      <c r="AC27" s="12">
        <v>60</v>
      </c>
    </row>
    <row r="28" spans="1:29" ht="24.75" customHeight="1" x14ac:dyDescent="0.2">
      <c r="A28" s="8" t="s">
        <v>8</v>
      </c>
      <c r="B28" s="8">
        <v>70</v>
      </c>
      <c r="C28" s="8">
        <v>0.38738699999999998</v>
      </c>
      <c r="D28" s="8"/>
      <c r="E28" s="8"/>
      <c r="F28" s="8"/>
      <c r="G28" s="8"/>
      <c r="H28" s="8"/>
      <c r="I28" s="8"/>
      <c r="J28" s="8"/>
      <c r="K28" s="8"/>
      <c r="L28" s="8">
        <v>225</v>
      </c>
      <c r="M28" s="8">
        <v>225</v>
      </c>
      <c r="N28" s="8">
        <v>0</v>
      </c>
      <c r="O28" s="8"/>
      <c r="P28" s="8"/>
      <c r="Q28" s="8"/>
      <c r="R28" s="3"/>
      <c r="S28" s="3"/>
      <c r="T28" s="8" t="s">
        <v>9</v>
      </c>
      <c r="U28" s="8">
        <v>70</v>
      </c>
      <c r="V28" s="8">
        <v>0.51224400000000003</v>
      </c>
      <c r="W28">
        <v>0.05</v>
      </c>
      <c r="X28">
        <v>0.15</v>
      </c>
      <c r="Y28">
        <v>0.6</v>
      </c>
      <c r="Z28" s="8">
        <v>225</v>
      </c>
      <c r="AA28" s="8">
        <v>225</v>
      </c>
      <c r="AB28" s="8">
        <v>0</v>
      </c>
      <c r="AC28" s="12">
        <v>60</v>
      </c>
    </row>
    <row r="29" spans="1:29" ht="24.75" customHeight="1" x14ac:dyDescent="0.2">
      <c r="A29" s="8" t="s">
        <v>8</v>
      </c>
      <c r="B29" s="8">
        <v>80</v>
      </c>
      <c r="C29" s="8">
        <v>0.46107100000000001</v>
      </c>
      <c r="D29" s="8"/>
      <c r="E29" s="8"/>
      <c r="F29" s="8"/>
      <c r="G29" s="8"/>
      <c r="H29" s="8"/>
      <c r="I29" s="8"/>
      <c r="J29" s="8"/>
      <c r="K29" s="8"/>
      <c r="L29" s="8">
        <v>225</v>
      </c>
      <c r="M29" s="8">
        <v>225</v>
      </c>
      <c r="N29" s="8">
        <v>0</v>
      </c>
      <c r="O29" s="8"/>
      <c r="P29" s="8"/>
      <c r="Q29" s="8"/>
      <c r="R29" s="3"/>
      <c r="S29" s="3"/>
      <c r="T29" s="8" t="s">
        <v>9</v>
      </c>
      <c r="U29" s="8">
        <v>80</v>
      </c>
      <c r="V29" s="8">
        <v>0.66536399999999996</v>
      </c>
      <c r="W29">
        <v>0.05</v>
      </c>
      <c r="X29">
        <v>0.15</v>
      </c>
      <c r="Y29">
        <v>0.6</v>
      </c>
      <c r="Z29" s="8">
        <v>225</v>
      </c>
      <c r="AA29" s="8">
        <v>225</v>
      </c>
      <c r="AB29" s="8">
        <v>0</v>
      </c>
      <c r="AC29" s="12">
        <v>60</v>
      </c>
    </row>
    <row r="30" spans="1:29" ht="24.75" customHeight="1" x14ac:dyDescent="0.2">
      <c r="A30" s="8" t="s">
        <v>8</v>
      </c>
      <c r="B30" s="8">
        <v>90</v>
      </c>
      <c r="C30" s="8">
        <v>0.58472400000000002</v>
      </c>
      <c r="D30" s="8"/>
      <c r="E30" s="8"/>
      <c r="F30" s="8"/>
      <c r="G30" s="8"/>
      <c r="H30" s="8"/>
      <c r="I30" s="8"/>
      <c r="J30" s="8"/>
      <c r="K30" s="8"/>
      <c r="L30" s="8">
        <v>225</v>
      </c>
      <c r="M30" s="8">
        <v>225</v>
      </c>
      <c r="N30" s="8">
        <v>0</v>
      </c>
      <c r="O30" s="8"/>
      <c r="P30" s="8"/>
      <c r="Q30" s="8"/>
      <c r="R30" s="3"/>
      <c r="S30" s="3"/>
      <c r="T30" s="8" t="s">
        <v>9</v>
      </c>
      <c r="U30" s="8">
        <v>90</v>
      </c>
      <c r="V30" s="8">
        <v>0.93536300000000006</v>
      </c>
      <c r="W30">
        <v>0.05</v>
      </c>
      <c r="X30">
        <v>0.15</v>
      </c>
      <c r="Y30">
        <v>0.6</v>
      </c>
      <c r="Z30" s="8">
        <v>225</v>
      </c>
      <c r="AA30" s="8">
        <v>225</v>
      </c>
      <c r="AB30" s="8">
        <v>15</v>
      </c>
      <c r="AC30" s="12">
        <v>60</v>
      </c>
    </row>
    <row r="31" spans="1:29" ht="24.75" customHeight="1" x14ac:dyDescent="0.2">
      <c r="A31" s="8" t="s">
        <v>8</v>
      </c>
      <c r="B31" s="8">
        <v>100</v>
      </c>
      <c r="C31" s="8">
        <v>0.61</v>
      </c>
      <c r="D31" s="8"/>
      <c r="E31" s="8"/>
      <c r="F31" s="8"/>
      <c r="G31" s="8"/>
      <c r="H31" s="8"/>
      <c r="I31" s="8"/>
      <c r="J31" s="8"/>
      <c r="K31" s="8"/>
      <c r="L31" s="8">
        <v>225</v>
      </c>
      <c r="M31" s="8">
        <v>225</v>
      </c>
      <c r="N31" s="8">
        <v>0</v>
      </c>
      <c r="O31" s="8"/>
      <c r="P31" s="8"/>
      <c r="Q31" s="8"/>
      <c r="R31" s="3"/>
      <c r="S31" s="3"/>
      <c r="T31" s="8" t="s">
        <v>9</v>
      </c>
      <c r="U31" s="8">
        <v>100</v>
      </c>
      <c r="V31" s="8">
        <v>2.0398969999999998</v>
      </c>
      <c r="W31">
        <v>0.05</v>
      </c>
      <c r="X31">
        <v>0.15</v>
      </c>
      <c r="Y31">
        <v>0.6</v>
      </c>
      <c r="Z31" s="8">
        <v>225</v>
      </c>
      <c r="AA31" s="8">
        <v>225</v>
      </c>
      <c r="AB31" s="8">
        <v>15</v>
      </c>
      <c r="AC31" s="12">
        <v>60</v>
      </c>
    </row>
    <row r="32" spans="1:29" ht="24.75" customHeight="1" x14ac:dyDescent="0.2">
      <c r="A32" s="7" t="s">
        <v>8</v>
      </c>
      <c r="B32" s="7">
        <v>10</v>
      </c>
      <c r="C32" s="7">
        <v>1.9999999999999999E-6</v>
      </c>
      <c r="D32" s="7"/>
      <c r="E32" s="7"/>
      <c r="F32" s="7"/>
      <c r="G32" s="7"/>
      <c r="H32" s="7"/>
      <c r="I32" s="7"/>
      <c r="J32" s="7"/>
      <c r="K32" s="7"/>
      <c r="L32" s="7">
        <v>0</v>
      </c>
      <c r="M32" s="7">
        <v>0</v>
      </c>
      <c r="N32" s="7">
        <v>0</v>
      </c>
      <c r="O32" s="7"/>
      <c r="P32" s="7"/>
      <c r="Q32" s="7"/>
      <c r="R32" s="3"/>
      <c r="S32" s="3"/>
      <c r="T32" s="7" t="s">
        <v>9</v>
      </c>
      <c r="U32" s="7">
        <v>10</v>
      </c>
      <c r="V32" s="7">
        <v>1.9999999999999999E-6</v>
      </c>
      <c r="W32">
        <v>0.05</v>
      </c>
      <c r="X32">
        <v>0.15</v>
      </c>
      <c r="Y32">
        <v>0.6</v>
      </c>
      <c r="Z32" s="7">
        <v>0</v>
      </c>
      <c r="AA32" s="7">
        <v>0</v>
      </c>
      <c r="AB32" s="7">
        <v>0</v>
      </c>
      <c r="AC32" s="12">
        <v>60</v>
      </c>
    </row>
    <row r="33" spans="1:29" ht="24.75" customHeight="1" x14ac:dyDescent="0.2">
      <c r="A33" s="7" t="s">
        <v>8</v>
      </c>
      <c r="B33" s="7">
        <v>20</v>
      </c>
      <c r="C33" s="7">
        <v>1.9999999999999999E-6</v>
      </c>
      <c r="D33" s="7"/>
      <c r="E33" s="7"/>
      <c r="F33" s="7"/>
      <c r="G33" s="7"/>
      <c r="H33" s="7"/>
      <c r="I33" s="7"/>
      <c r="J33" s="7"/>
      <c r="K33" s="7"/>
      <c r="L33" s="7">
        <v>0</v>
      </c>
      <c r="M33" s="7">
        <v>0</v>
      </c>
      <c r="N33" s="7">
        <v>0</v>
      </c>
      <c r="O33" s="7"/>
      <c r="P33" s="7"/>
      <c r="Q33" s="7"/>
      <c r="R33" s="3"/>
      <c r="S33" s="3"/>
      <c r="T33" s="7" t="s">
        <v>9</v>
      </c>
      <c r="U33" s="7">
        <v>20</v>
      </c>
      <c r="V33" s="7">
        <v>1.508E-3</v>
      </c>
      <c r="W33">
        <v>0.05</v>
      </c>
      <c r="X33">
        <v>0.15</v>
      </c>
      <c r="Y33">
        <v>0.6</v>
      </c>
      <c r="Z33" s="7">
        <v>0</v>
      </c>
      <c r="AA33" s="7">
        <v>0</v>
      </c>
      <c r="AB33" s="7">
        <v>0</v>
      </c>
      <c r="AC33" s="12">
        <v>60</v>
      </c>
    </row>
    <row r="34" spans="1:29" ht="24.75" customHeight="1" x14ac:dyDescent="0.2">
      <c r="A34" s="7" t="s">
        <v>8</v>
      </c>
      <c r="B34" s="7">
        <v>30</v>
      </c>
      <c r="C34" s="7">
        <v>3.0299999999999999E-4</v>
      </c>
      <c r="D34" s="7"/>
      <c r="E34" s="7"/>
      <c r="F34" s="7"/>
      <c r="G34" s="7"/>
      <c r="H34" s="7"/>
      <c r="I34" s="7"/>
      <c r="J34" s="7"/>
      <c r="K34" s="7"/>
      <c r="L34" s="7">
        <v>0</v>
      </c>
      <c r="M34" s="7">
        <v>0</v>
      </c>
      <c r="N34" s="7">
        <v>0</v>
      </c>
      <c r="O34" s="7"/>
      <c r="P34" s="7"/>
      <c r="Q34" s="7"/>
      <c r="R34" s="3"/>
      <c r="S34" s="3"/>
      <c r="T34" s="7" t="s">
        <v>9</v>
      </c>
      <c r="U34" s="7">
        <v>30</v>
      </c>
      <c r="V34" s="7">
        <v>8.3590000000000001E-3</v>
      </c>
      <c r="W34">
        <v>0.05</v>
      </c>
      <c r="X34">
        <v>0.15</v>
      </c>
      <c r="Y34">
        <v>0.6</v>
      </c>
      <c r="Z34" s="7">
        <v>0</v>
      </c>
      <c r="AA34" s="7">
        <v>0</v>
      </c>
      <c r="AB34" s="7">
        <v>0</v>
      </c>
      <c r="AC34" s="12">
        <v>60</v>
      </c>
    </row>
    <row r="35" spans="1:29" ht="24.75" customHeight="1" x14ac:dyDescent="0.2">
      <c r="A35" s="7" t="s">
        <v>8</v>
      </c>
      <c r="B35" s="7">
        <v>40</v>
      </c>
      <c r="C35" s="7">
        <v>0.110912</v>
      </c>
      <c r="D35" s="7"/>
      <c r="E35" s="7"/>
      <c r="F35" s="7"/>
      <c r="G35" s="7"/>
      <c r="H35" s="7"/>
      <c r="I35" s="7"/>
      <c r="J35" s="7"/>
      <c r="K35" s="7"/>
      <c r="L35" s="7">
        <v>60</v>
      </c>
      <c r="M35" s="7">
        <v>0</v>
      </c>
      <c r="N35" s="7">
        <v>0</v>
      </c>
      <c r="O35" s="7"/>
      <c r="P35" s="7"/>
      <c r="Q35" s="7"/>
      <c r="R35" s="3"/>
      <c r="S35" s="3"/>
      <c r="T35" s="7" t="s">
        <v>9</v>
      </c>
      <c r="U35" s="7">
        <v>40</v>
      </c>
      <c r="V35" s="7">
        <v>0.110249</v>
      </c>
      <c r="W35">
        <v>0.05</v>
      </c>
      <c r="X35">
        <v>0.15</v>
      </c>
      <c r="Y35">
        <v>0.6</v>
      </c>
      <c r="Z35" s="7">
        <v>60</v>
      </c>
      <c r="AA35" s="7">
        <v>0</v>
      </c>
      <c r="AB35" s="7">
        <v>0</v>
      </c>
      <c r="AC35" s="12">
        <v>60</v>
      </c>
    </row>
    <row r="36" spans="1:29" ht="24.75" customHeight="1" x14ac:dyDescent="0.2">
      <c r="A36" s="7" t="s">
        <v>8</v>
      </c>
      <c r="B36" s="7">
        <v>50</v>
      </c>
      <c r="C36" s="7">
        <v>0.25662299999999999</v>
      </c>
      <c r="D36" s="7"/>
      <c r="E36" s="7"/>
      <c r="F36" s="7"/>
      <c r="G36" s="7"/>
      <c r="H36" s="7"/>
      <c r="I36" s="7"/>
      <c r="J36" s="7"/>
      <c r="K36" s="7"/>
      <c r="L36" s="7">
        <v>180</v>
      </c>
      <c r="M36" s="7">
        <v>135</v>
      </c>
      <c r="N36" s="7">
        <v>0</v>
      </c>
      <c r="O36" s="7"/>
      <c r="P36" s="7"/>
      <c r="Q36" s="7"/>
      <c r="R36" s="3"/>
      <c r="S36" s="3"/>
      <c r="T36" s="7" t="s">
        <v>9</v>
      </c>
      <c r="U36" s="7">
        <v>50</v>
      </c>
      <c r="V36" s="7">
        <v>0.26763500000000001</v>
      </c>
      <c r="W36">
        <v>0.05</v>
      </c>
      <c r="X36">
        <v>0.15</v>
      </c>
      <c r="Y36">
        <v>0.6</v>
      </c>
      <c r="Z36" s="7">
        <v>180</v>
      </c>
      <c r="AA36" s="7">
        <v>135</v>
      </c>
      <c r="AB36" s="7">
        <v>0</v>
      </c>
      <c r="AC36" s="12">
        <v>60</v>
      </c>
    </row>
    <row r="37" spans="1:29" ht="24.75" customHeight="1" x14ac:dyDescent="0.2">
      <c r="A37" s="7" t="s">
        <v>8</v>
      </c>
      <c r="B37" s="7">
        <v>60</v>
      </c>
      <c r="C37" s="7">
        <v>0.355906</v>
      </c>
      <c r="D37" s="7"/>
      <c r="E37" s="7"/>
      <c r="F37" s="7"/>
      <c r="G37" s="7"/>
      <c r="H37" s="7"/>
      <c r="I37" s="7"/>
      <c r="J37" s="7"/>
      <c r="K37" s="7"/>
      <c r="L37" s="7">
        <v>225</v>
      </c>
      <c r="M37" s="7">
        <v>180</v>
      </c>
      <c r="N37" s="7">
        <v>0</v>
      </c>
      <c r="O37" s="7"/>
      <c r="P37" s="7"/>
      <c r="Q37" s="7"/>
      <c r="R37" s="3"/>
      <c r="S37" s="3"/>
      <c r="T37" s="7" t="s">
        <v>9</v>
      </c>
      <c r="U37" s="7">
        <v>60</v>
      </c>
      <c r="V37" s="7">
        <v>0.41195199999999998</v>
      </c>
      <c r="W37">
        <v>0.05</v>
      </c>
      <c r="X37">
        <v>0.15</v>
      </c>
      <c r="Y37">
        <v>0.6</v>
      </c>
      <c r="Z37" s="7">
        <v>225</v>
      </c>
      <c r="AA37" s="7">
        <v>180</v>
      </c>
      <c r="AB37" s="7">
        <v>0</v>
      </c>
      <c r="AC37" s="12">
        <v>60</v>
      </c>
    </row>
    <row r="38" spans="1:29" ht="24.75" customHeight="1" x14ac:dyDescent="0.2">
      <c r="A38" s="7" t="s">
        <v>8</v>
      </c>
      <c r="B38" s="7">
        <v>70</v>
      </c>
      <c r="C38" s="7">
        <v>0.39777600000000002</v>
      </c>
      <c r="D38" s="7"/>
      <c r="E38" s="7"/>
      <c r="F38" s="7"/>
      <c r="G38" s="7"/>
      <c r="H38" s="7"/>
      <c r="I38" s="7"/>
      <c r="J38" s="7"/>
      <c r="K38" s="7"/>
      <c r="L38" s="7">
        <v>225</v>
      </c>
      <c r="M38" s="7">
        <v>225</v>
      </c>
      <c r="N38" s="7">
        <v>0</v>
      </c>
      <c r="O38" s="7"/>
      <c r="P38" s="7"/>
      <c r="Q38" s="7"/>
      <c r="R38" s="3"/>
      <c r="S38" s="3"/>
      <c r="T38" s="7" t="s">
        <v>9</v>
      </c>
      <c r="U38" s="7">
        <v>70</v>
      </c>
      <c r="V38" s="7">
        <v>0.50521000000000005</v>
      </c>
      <c r="W38">
        <v>0.05</v>
      </c>
      <c r="X38">
        <v>0.15</v>
      </c>
      <c r="Y38">
        <v>0.6</v>
      </c>
      <c r="Z38" s="7">
        <v>225</v>
      </c>
      <c r="AA38" s="7">
        <v>225</v>
      </c>
      <c r="AB38" s="7">
        <v>0</v>
      </c>
      <c r="AC38" s="12">
        <v>60</v>
      </c>
    </row>
    <row r="39" spans="1:29" ht="24.75" customHeight="1" x14ac:dyDescent="0.2">
      <c r="A39" s="7" t="s">
        <v>8</v>
      </c>
      <c r="B39" s="7">
        <v>80</v>
      </c>
      <c r="C39" s="7">
        <v>0.46072600000000002</v>
      </c>
      <c r="D39" s="7"/>
      <c r="E39" s="7"/>
      <c r="F39" s="7"/>
      <c r="G39" s="7"/>
      <c r="H39" s="7"/>
      <c r="I39" s="7"/>
      <c r="J39" s="7"/>
      <c r="K39" s="7"/>
      <c r="L39" s="7">
        <v>225</v>
      </c>
      <c r="M39" s="7">
        <v>225</v>
      </c>
      <c r="N39" s="7">
        <v>0</v>
      </c>
      <c r="O39" s="7"/>
      <c r="P39" s="7"/>
      <c r="Q39" s="7"/>
      <c r="R39" s="3"/>
      <c r="S39" s="3"/>
      <c r="T39" s="7" t="s">
        <v>9</v>
      </c>
      <c r="U39" s="7">
        <v>80</v>
      </c>
      <c r="V39" s="7">
        <v>0.64414099999999996</v>
      </c>
      <c r="W39">
        <v>0.05</v>
      </c>
      <c r="X39">
        <v>0.15</v>
      </c>
      <c r="Y39">
        <v>0.6</v>
      </c>
      <c r="Z39" s="7">
        <v>225</v>
      </c>
      <c r="AA39" s="7">
        <v>225</v>
      </c>
      <c r="AB39" s="7">
        <v>0</v>
      </c>
      <c r="AC39" s="12">
        <v>60</v>
      </c>
    </row>
    <row r="40" spans="1:29" ht="24.75" customHeight="1" x14ac:dyDescent="0.2">
      <c r="A40" s="7" t="s">
        <v>8</v>
      </c>
      <c r="B40" s="7">
        <v>90</v>
      </c>
      <c r="C40" s="7">
        <v>0.56999999999999995</v>
      </c>
      <c r="D40" s="7"/>
      <c r="E40" s="7"/>
      <c r="F40" s="7"/>
      <c r="G40" s="7"/>
      <c r="H40" s="7"/>
      <c r="I40" s="7"/>
      <c r="J40" s="7"/>
      <c r="K40" s="7"/>
      <c r="L40" s="7">
        <v>225</v>
      </c>
      <c r="M40" s="7">
        <v>225</v>
      </c>
      <c r="N40" s="7">
        <v>15</v>
      </c>
      <c r="O40" s="7"/>
      <c r="P40" s="7"/>
      <c r="Q40" s="7"/>
      <c r="R40" s="3"/>
      <c r="S40" s="3"/>
      <c r="T40" s="7" t="s">
        <v>9</v>
      </c>
      <c r="U40" s="7">
        <v>90</v>
      </c>
      <c r="V40" s="7">
        <v>0.88772600000000002</v>
      </c>
      <c r="W40">
        <v>0.05</v>
      </c>
      <c r="X40">
        <v>0.15</v>
      </c>
      <c r="Y40">
        <v>0.6</v>
      </c>
      <c r="Z40" s="7">
        <v>225</v>
      </c>
      <c r="AA40" s="7">
        <v>225</v>
      </c>
      <c r="AB40" s="7">
        <v>15</v>
      </c>
      <c r="AC40" s="12">
        <v>60</v>
      </c>
    </row>
    <row r="41" spans="1:29" ht="24.75" customHeight="1" x14ac:dyDescent="0.2">
      <c r="A41" s="7" t="s">
        <v>8</v>
      </c>
      <c r="B41" s="7">
        <v>100</v>
      </c>
      <c r="C41" s="7">
        <v>0.6</v>
      </c>
      <c r="D41" s="7"/>
      <c r="E41" s="7"/>
      <c r="F41" s="7"/>
      <c r="G41" s="7"/>
      <c r="H41" s="7"/>
      <c r="I41" s="7"/>
      <c r="J41" s="7"/>
      <c r="K41" s="7"/>
      <c r="L41" s="7">
        <v>225</v>
      </c>
      <c r="M41" s="7">
        <v>225</v>
      </c>
      <c r="N41" s="7">
        <v>0</v>
      </c>
      <c r="O41" s="7"/>
      <c r="P41" s="7"/>
      <c r="Q41" s="7"/>
      <c r="R41" s="3"/>
      <c r="S41" s="3"/>
      <c r="T41" s="7" t="s">
        <v>9</v>
      </c>
      <c r="U41" s="7">
        <v>100</v>
      </c>
      <c r="V41" s="7">
        <v>2.0438740000000002</v>
      </c>
      <c r="W41">
        <v>0.05</v>
      </c>
      <c r="X41">
        <v>0.15</v>
      </c>
      <c r="Y41">
        <v>0.6</v>
      </c>
      <c r="Z41" s="7">
        <v>225</v>
      </c>
      <c r="AA41" s="7">
        <v>225</v>
      </c>
      <c r="AB41" s="7">
        <v>15</v>
      </c>
      <c r="AC41" s="12">
        <v>60</v>
      </c>
    </row>
    <row r="42" spans="1:29" ht="24.75" customHeight="1" x14ac:dyDescent="0.2">
      <c r="A42" s="8" t="s">
        <v>8</v>
      </c>
      <c r="B42" s="8">
        <v>10</v>
      </c>
      <c r="C42" s="8">
        <v>9.9999999999999995E-7</v>
      </c>
      <c r="D42" s="8"/>
      <c r="E42" s="8"/>
      <c r="F42" s="8"/>
      <c r="G42" s="8"/>
      <c r="H42" s="8"/>
      <c r="I42" s="8"/>
      <c r="J42" s="8"/>
      <c r="K42" s="8"/>
      <c r="L42" s="8">
        <v>0</v>
      </c>
      <c r="M42" s="8">
        <v>0</v>
      </c>
      <c r="N42" s="8"/>
      <c r="O42" s="8"/>
      <c r="P42" s="8"/>
      <c r="Q42" s="8"/>
      <c r="R42" s="3"/>
      <c r="S42" s="3"/>
      <c r="T42" s="8" t="s">
        <v>9</v>
      </c>
      <c r="U42" s="8">
        <v>10</v>
      </c>
      <c r="V42" s="8">
        <v>1.9999999999999999E-6</v>
      </c>
      <c r="W42">
        <v>0.05</v>
      </c>
      <c r="X42">
        <v>0.15</v>
      </c>
      <c r="Y42">
        <v>0.6</v>
      </c>
      <c r="Z42" s="8">
        <v>0</v>
      </c>
      <c r="AA42" s="8">
        <v>0</v>
      </c>
      <c r="AB42" s="7">
        <v>0</v>
      </c>
      <c r="AC42" s="12">
        <v>60</v>
      </c>
    </row>
    <row r="43" spans="1:29" ht="24.75" customHeight="1" x14ac:dyDescent="0.2">
      <c r="A43" s="8" t="s">
        <v>8</v>
      </c>
      <c r="B43" s="8">
        <v>20</v>
      </c>
      <c r="C43" s="8">
        <v>3.0000000000000001E-6</v>
      </c>
      <c r="D43" s="8"/>
      <c r="E43" s="8"/>
      <c r="F43" s="8"/>
      <c r="G43" s="8"/>
      <c r="H43" s="8"/>
      <c r="I43" s="8"/>
      <c r="J43" s="8"/>
      <c r="K43" s="8"/>
      <c r="L43" s="8">
        <v>0</v>
      </c>
      <c r="M43" s="8">
        <v>0</v>
      </c>
      <c r="N43" s="8"/>
      <c r="O43" s="8"/>
      <c r="P43" s="8"/>
      <c r="Q43" s="8"/>
      <c r="R43" s="3"/>
      <c r="S43" s="3"/>
      <c r="T43" s="8" t="s">
        <v>9</v>
      </c>
      <c r="U43" s="8">
        <v>20</v>
      </c>
      <c r="V43" s="8">
        <v>1.2130000000000001E-3</v>
      </c>
      <c r="W43">
        <v>0.05</v>
      </c>
      <c r="X43">
        <v>0.15</v>
      </c>
      <c r="Y43">
        <v>0.6</v>
      </c>
      <c r="Z43" s="8">
        <v>0</v>
      </c>
      <c r="AA43" s="8">
        <v>0</v>
      </c>
      <c r="AB43" s="7">
        <v>0</v>
      </c>
      <c r="AC43" s="12">
        <v>60</v>
      </c>
    </row>
    <row r="44" spans="1:29" ht="24.75" customHeight="1" x14ac:dyDescent="0.2">
      <c r="A44" s="8" t="s">
        <v>8</v>
      </c>
      <c r="B44" s="8">
        <v>30</v>
      </c>
      <c r="C44" s="8">
        <v>3.0299999999999999E-4</v>
      </c>
      <c r="D44" s="8"/>
      <c r="E44" s="8"/>
      <c r="F44" s="8"/>
      <c r="G44" s="8"/>
      <c r="H44" s="8"/>
      <c r="I44" s="8"/>
      <c r="J44" s="8"/>
      <c r="K44" s="8"/>
      <c r="L44" s="8">
        <v>0</v>
      </c>
      <c r="M44" s="8">
        <v>0</v>
      </c>
      <c r="N44" s="8"/>
      <c r="O44" s="8"/>
      <c r="P44" s="8"/>
      <c r="Q44" s="8"/>
      <c r="R44" s="3"/>
      <c r="S44" s="3"/>
      <c r="T44" s="8" t="s">
        <v>9</v>
      </c>
      <c r="U44" s="8">
        <v>30</v>
      </c>
      <c r="V44" s="8">
        <v>1.1779E-2</v>
      </c>
      <c r="W44">
        <v>0.05</v>
      </c>
      <c r="X44">
        <v>0.15</v>
      </c>
      <c r="Y44">
        <v>0.6</v>
      </c>
      <c r="Z44" s="8">
        <v>0</v>
      </c>
      <c r="AA44" s="8">
        <v>0</v>
      </c>
      <c r="AB44" s="7">
        <v>0</v>
      </c>
      <c r="AC44" s="12">
        <v>60</v>
      </c>
    </row>
    <row r="45" spans="1:29" ht="24.75" customHeight="1" x14ac:dyDescent="0.2">
      <c r="A45" s="8" t="s">
        <v>8</v>
      </c>
      <c r="B45" s="8">
        <v>40</v>
      </c>
      <c r="C45" s="8">
        <v>7.9130000000000006E-2</v>
      </c>
      <c r="D45" s="8"/>
      <c r="E45" s="8"/>
      <c r="F45" s="8"/>
      <c r="G45" s="8"/>
      <c r="H45" s="8"/>
      <c r="I45" s="8"/>
      <c r="J45" s="8"/>
      <c r="K45" s="8"/>
      <c r="L45" s="8">
        <v>60</v>
      </c>
      <c r="M45" s="8">
        <v>0</v>
      </c>
      <c r="N45" s="8"/>
      <c r="O45" s="8"/>
      <c r="P45" s="8"/>
      <c r="Q45" s="8"/>
      <c r="R45" s="3"/>
      <c r="S45" s="3"/>
      <c r="T45" s="8" t="s">
        <v>9</v>
      </c>
      <c r="U45" s="8">
        <v>40</v>
      </c>
      <c r="V45" s="8">
        <v>0.11848599999999999</v>
      </c>
      <c r="W45">
        <v>0.05</v>
      </c>
      <c r="X45">
        <v>0.15</v>
      </c>
      <c r="Y45">
        <v>0.6</v>
      </c>
      <c r="Z45" s="8">
        <v>60</v>
      </c>
      <c r="AA45" s="8">
        <v>0</v>
      </c>
      <c r="AB45" s="7">
        <v>0</v>
      </c>
      <c r="AC45" s="12">
        <v>60</v>
      </c>
    </row>
    <row r="46" spans="1:29" ht="24.75" customHeight="1" x14ac:dyDescent="0.2">
      <c r="A46" s="8" t="s">
        <v>8</v>
      </c>
      <c r="B46" s="8">
        <v>50</v>
      </c>
      <c r="C46" s="8">
        <v>0.25753199999999998</v>
      </c>
      <c r="D46" s="8"/>
      <c r="E46" s="8"/>
      <c r="F46" s="8"/>
      <c r="G46" s="8"/>
      <c r="H46" s="8"/>
      <c r="I46" s="8"/>
      <c r="J46" s="8"/>
      <c r="K46" s="8"/>
      <c r="L46" s="8">
        <v>180</v>
      </c>
      <c r="M46" s="8">
        <v>120</v>
      </c>
      <c r="N46" s="8"/>
      <c r="O46" s="8"/>
      <c r="P46" s="8"/>
      <c r="Q46" s="8"/>
      <c r="R46" s="3"/>
      <c r="S46" s="3"/>
      <c r="T46" s="8" t="s">
        <v>9</v>
      </c>
      <c r="U46" s="8">
        <v>50</v>
      </c>
      <c r="V46" s="8">
        <v>0.26888600000000001</v>
      </c>
      <c r="W46">
        <v>0.05</v>
      </c>
      <c r="X46">
        <v>0.15</v>
      </c>
      <c r="Y46">
        <v>0.6</v>
      </c>
      <c r="Z46" s="8">
        <v>180</v>
      </c>
      <c r="AA46" s="8">
        <v>120</v>
      </c>
      <c r="AB46" s="7">
        <v>0</v>
      </c>
      <c r="AC46" s="12">
        <v>60</v>
      </c>
    </row>
    <row r="47" spans="1:29" ht="24.75" customHeight="1" x14ac:dyDescent="0.2">
      <c r="A47" s="8" t="s">
        <v>8</v>
      </c>
      <c r="B47" s="8">
        <v>60</v>
      </c>
      <c r="C47" s="8">
        <v>0.35638199999999998</v>
      </c>
      <c r="D47" s="8"/>
      <c r="E47" s="8"/>
      <c r="F47" s="8"/>
      <c r="G47" s="8"/>
      <c r="H47" s="8"/>
      <c r="I47" s="8"/>
      <c r="J47" s="8"/>
      <c r="K47" s="8"/>
      <c r="L47" s="8">
        <v>225</v>
      </c>
      <c r="M47" s="8">
        <v>180</v>
      </c>
      <c r="N47" s="8"/>
      <c r="O47" s="8"/>
      <c r="P47" s="8"/>
      <c r="Q47" s="8"/>
      <c r="R47" s="3"/>
      <c r="S47" s="3"/>
      <c r="T47" s="8" t="s">
        <v>9</v>
      </c>
      <c r="U47" s="8">
        <v>60</v>
      </c>
      <c r="V47" s="8">
        <v>0.400835</v>
      </c>
      <c r="W47">
        <v>0.05</v>
      </c>
      <c r="X47">
        <v>0.15</v>
      </c>
      <c r="Y47">
        <v>0.6</v>
      </c>
      <c r="Z47" s="8">
        <v>225</v>
      </c>
      <c r="AA47" s="8">
        <v>180</v>
      </c>
      <c r="AB47" s="7">
        <v>0</v>
      </c>
      <c r="AC47" s="12">
        <v>60</v>
      </c>
    </row>
    <row r="48" spans="1:29" ht="24.75" customHeight="1" x14ac:dyDescent="0.2">
      <c r="A48" s="8" t="s">
        <v>8</v>
      </c>
      <c r="B48" s="8">
        <v>70</v>
      </c>
      <c r="C48" s="8">
        <v>0.39296300000000001</v>
      </c>
      <c r="D48" s="8"/>
      <c r="E48" s="8"/>
      <c r="F48" s="8"/>
      <c r="G48" s="8"/>
      <c r="H48" s="8"/>
      <c r="I48" s="8"/>
      <c r="J48" s="8"/>
      <c r="K48" s="8"/>
      <c r="L48" s="8">
        <v>225</v>
      </c>
      <c r="M48" s="8">
        <v>225</v>
      </c>
      <c r="N48" s="8"/>
      <c r="O48" s="8"/>
      <c r="P48" s="8"/>
      <c r="Q48" s="8"/>
      <c r="R48" s="3"/>
      <c r="S48" s="3"/>
      <c r="T48" s="8" t="s">
        <v>9</v>
      </c>
      <c r="U48" s="8">
        <v>70</v>
      </c>
      <c r="V48" s="8">
        <v>0.49243500000000001</v>
      </c>
      <c r="W48">
        <v>0.05</v>
      </c>
      <c r="X48">
        <v>0.15</v>
      </c>
      <c r="Y48">
        <v>0.6</v>
      </c>
      <c r="Z48" s="8">
        <v>225</v>
      </c>
      <c r="AA48" s="8">
        <v>225</v>
      </c>
      <c r="AB48" s="7">
        <v>0</v>
      </c>
      <c r="AC48" s="12">
        <v>60</v>
      </c>
    </row>
    <row r="49" spans="1:31" ht="24.75" customHeight="1" x14ac:dyDescent="0.2">
      <c r="A49" s="8" t="s">
        <v>8</v>
      </c>
      <c r="B49" s="8">
        <v>80</v>
      </c>
      <c r="C49" s="8">
        <v>0.45744899999999999</v>
      </c>
      <c r="D49" s="8"/>
      <c r="E49" s="8"/>
      <c r="F49" s="8"/>
      <c r="G49" s="8"/>
      <c r="H49" s="8"/>
      <c r="I49" s="8"/>
      <c r="J49" s="8"/>
      <c r="K49" s="8"/>
      <c r="L49" s="8">
        <v>225</v>
      </c>
      <c r="M49" s="8">
        <v>225</v>
      </c>
      <c r="N49" s="8"/>
      <c r="O49" s="8"/>
      <c r="P49" s="8"/>
      <c r="Q49" s="8"/>
      <c r="R49" s="3"/>
      <c r="S49" s="3"/>
      <c r="T49" s="8" t="s">
        <v>9</v>
      </c>
      <c r="U49" s="8">
        <v>80</v>
      </c>
      <c r="V49" s="8">
        <v>0.666493</v>
      </c>
      <c r="W49">
        <v>0.05</v>
      </c>
      <c r="X49">
        <v>0.15</v>
      </c>
      <c r="Y49">
        <v>0.6</v>
      </c>
      <c r="Z49" s="8">
        <v>225</v>
      </c>
      <c r="AA49" s="8">
        <v>225</v>
      </c>
      <c r="AB49" s="7">
        <v>0</v>
      </c>
      <c r="AC49" s="12">
        <v>60</v>
      </c>
    </row>
    <row r="50" spans="1:31" ht="24.75" customHeight="1" x14ac:dyDescent="0.2">
      <c r="A50" s="8" t="s">
        <v>8</v>
      </c>
      <c r="B50" s="8">
        <v>90</v>
      </c>
      <c r="C50" s="8">
        <v>0.56000000000000005</v>
      </c>
      <c r="D50" s="8"/>
      <c r="E50" s="8"/>
      <c r="F50" s="8"/>
      <c r="G50" s="8"/>
      <c r="H50" s="8"/>
      <c r="I50" s="8"/>
      <c r="J50" s="8"/>
      <c r="K50" s="8"/>
      <c r="L50" s="8">
        <v>225</v>
      </c>
      <c r="M50" s="8">
        <v>225</v>
      </c>
      <c r="N50" s="8"/>
      <c r="O50" s="8"/>
      <c r="P50" s="8"/>
      <c r="Q50" s="8"/>
      <c r="R50" s="3"/>
      <c r="S50" s="3"/>
      <c r="T50" s="8" t="s">
        <v>9</v>
      </c>
      <c r="U50" s="8">
        <v>90</v>
      </c>
      <c r="V50" s="8">
        <v>0.86663599999999996</v>
      </c>
      <c r="W50">
        <v>0.05</v>
      </c>
      <c r="X50">
        <v>0.15</v>
      </c>
      <c r="Y50">
        <v>0.6</v>
      </c>
      <c r="Z50" s="8">
        <v>225</v>
      </c>
      <c r="AA50" s="8">
        <v>225</v>
      </c>
      <c r="AB50" s="7">
        <v>15</v>
      </c>
      <c r="AC50" s="12">
        <v>60</v>
      </c>
    </row>
    <row r="51" spans="1:31" ht="24.75" customHeight="1" x14ac:dyDescent="0.2">
      <c r="A51" s="8" t="s">
        <v>8</v>
      </c>
      <c r="B51" s="8">
        <v>100</v>
      </c>
      <c r="C51" s="8">
        <v>0.6</v>
      </c>
      <c r="D51" s="8"/>
      <c r="E51" s="8"/>
      <c r="F51" s="8"/>
      <c r="G51" s="8"/>
      <c r="H51" s="8"/>
      <c r="I51" s="8"/>
      <c r="J51" s="8"/>
      <c r="K51" s="8"/>
      <c r="L51" s="8">
        <v>225</v>
      </c>
      <c r="M51" s="8">
        <v>225</v>
      </c>
      <c r="N51" s="8"/>
      <c r="O51" s="8"/>
      <c r="P51" s="8"/>
      <c r="Q51" s="8"/>
      <c r="R51" s="3"/>
      <c r="S51" s="3"/>
      <c r="T51" s="8" t="s">
        <v>9</v>
      </c>
      <c r="U51" s="8">
        <v>100</v>
      </c>
      <c r="V51" s="8">
        <v>2.0584850000000001</v>
      </c>
      <c r="W51">
        <v>0.05</v>
      </c>
      <c r="X51">
        <v>0.15</v>
      </c>
      <c r="Y51">
        <v>0.6</v>
      </c>
      <c r="Z51" s="8">
        <v>225</v>
      </c>
      <c r="AA51" s="8">
        <v>225</v>
      </c>
      <c r="AB51" s="7">
        <v>15</v>
      </c>
      <c r="AC51" s="12">
        <v>60</v>
      </c>
    </row>
    <row r="52" spans="1:31" ht="24.75" customHeight="1" x14ac:dyDescent="0.2">
      <c r="A52" s="7" t="s">
        <v>8</v>
      </c>
      <c r="B52" s="7">
        <v>10</v>
      </c>
      <c r="C52" s="7">
        <v>5.0000000000000004E-6</v>
      </c>
      <c r="D52" s="7"/>
      <c r="E52" s="7"/>
      <c r="F52" s="7"/>
      <c r="G52" s="7"/>
      <c r="H52" s="7"/>
      <c r="I52" s="7"/>
      <c r="J52" s="7"/>
      <c r="K52" s="7"/>
      <c r="L52" s="7">
        <v>0</v>
      </c>
      <c r="M52" s="7">
        <v>0</v>
      </c>
      <c r="N52" s="7">
        <v>0</v>
      </c>
      <c r="O52" s="7"/>
      <c r="P52" s="7"/>
      <c r="Q52" s="7"/>
      <c r="R52" s="3"/>
      <c r="S52" s="3"/>
      <c r="T52" s="7" t="s">
        <v>9</v>
      </c>
      <c r="U52" s="7">
        <v>10</v>
      </c>
      <c r="V52" s="7">
        <v>2.48E-3</v>
      </c>
      <c r="W52">
        <v>0.05</v>
      </c>
      <c r="X52">
        <v>0.15</v>
      </c>
      <c r="Y52">
        <v>0.6</v>
      </c>
      <c r="Z52" s="7">
        <v>0</v>
      </c>
      <c r="AA52" s="7">
        <v>0</v>
      </c>
      <c r="AB52" s="7">
        <v>0</v>
      </c>
      <c r="AC52" s="12">
        <v>60</v>
      </c>
    </row>
    <row r="53" spans="1:31" ht="24.75" customHeight="1" x14ac:dyDescent="0.2">
      <c r="A53" s="7" t="s">
        <v>8</v>
      </c>
      <c r="B53" s="7">
        <v>20</v>
      </c>
      <c r="C53" s="7">
        <v>1.0245000000000001E-2</v>
      </c>
      <c r="D53" s="7"/>
      <c r="E53" s="7"/>
      <c r="F53" s="7"/>
      <c r="G53" s="7"/>
      <c r="H53" s="7"/>
      <c r="I53" s="7"/>
      <c r="J53" s="7"/>
      <c r="K53" s="7"/>
      <c r="L53" s="7">
        <v>0</v>
      </c>
      <c r="M53" s="7">
        <v>0</v>
      </c>
      <c r="N53" s="7">
        <v>0</v>
      </c>
      <c r="O53" s="7"/>
      <c r="P53" s="7"/>
      <c r="Q53" s="7"/>
      <c r="R53" s="3"/>
      <c r="S53" s="3"/>
      <c r="T53" s="7" t="s">
        <v>9</v>
      </c>
      <c r="U53" s="7">
        <v>20</v>
      </c>
      <c r="V53" s="7">
        <v>2.2523999999999999E-2</v>
      </c>
      <c r="W53">
        <v>0.05</v>
      </c>
      <c r="X53">
        <v>0.15</v>
      </c>
      <c r="Y53">
        <v>0.6</v>
      </c>
      <c r="Z53" s="7">
        <v>0</v>
      </c>
      <c r="AA53" s="7">
        <v>0</v>
      </c>
      <c r="AB53" s="7">
        <v>0</v>
      </c>
      <c r="AC53" s="12">
        <v>60</v>
      </c>
    </row>
    <row r="54" spans="1:31" ht="24.75" customHeight="1" x14ac:dyDescent="0.2">
      <c r="A54" s="7" t="s">
        <v>8</v>
      </c>
      <c r="B54" s="7">
        <v>30</v>
      </c>
      <c r="C54" s="7">
        <v>0.25875199999999998</v>
      </c>
      <c r="D54" s="7"/>
      <c r="E54" s="7"/>
      <c r="F54" s="7"/>
      <c r="G54" s="7"/>
      <c r="H54" s="7"/>
      <c r="I54" s="7"/>
      <c r="J54" s="7"/>
      <c r="K54" s="7"/>
      <c r="L54" s="7">
        <v>210</v>
      </c>
      <c r="M54" s="7">
        <v>120</v>
      </c>
      <c r="N54" s="7">
        <v>0</v>
      </c>
      <c r="O54" s="7"/>
      <c r="P54" s="7"/>
      <c r="Q54" s="7"/>
      <c r="R54" s="3"/>
      <c r="S54" s="3"/>
      <c r="T54" s="7" t="s">
        <v>9</v>
      </c>
      <c r="U54" s="7">
        <v>30</v>
      </c>
      <c r="V54" s="7">
        <v>7.7488000000000001E-2</v>
      </c>
      <c r="W54">
        <v>0.05</v>
      </c>
      <c r="X54">
        <v>0.15</v>
      </c>
      <c r="Y54">
        <v>0.6</v>
      </c>
      <c r="Z54" s="7">
        <v>210</v>
      </c>
      <c r="AA54" s="7">
        <v>120</v>
      </c>
      <c r="AB54" s="7">
        <v>0</v>
      </c>
      <c r="AC54" s="12">
        <v>60</v>
      </c>
    </row>
    <row r="55" spans="1:31" ht="24.75" customHeight="1" x14ac:dyDescent="0.2">
      <c r="A55" s="7" t="s">
        <v>8</v>
      </c>
      <c r="B55" s="7">
        <v>40</v>
      </c>
      <c r="C55" s="7">
        <v>0.40645799999999999</v>
      </c>
      <c r="D55" s="7"/>
      <c r="E55" s="7"/>
      <c r="F55" s="7"/>
      <c r="G55" s="7"/>
      <c r="H55" s="7"/>
      <c r="I55" s="7"/>
      <c r="J55" s="7"/>
      <c r="K55" s="7"/>
      <c r="L55" s="7">
        <v>225</v>
      </c>
      <c r="M55" s="7">
        <v>210</v>
      </c>
      <c r="N55" s="7">
        <v>0</v>
      </c>
      <c r="O55" s="7"/>
      <c r="P55" s="7"/>
      <c r="Q55" s="7"/>
      <c r="R55" s="3"/>
      <c r="S55" s="3"/>
      <c r="T55" s="7" t="s">
        <v>9</v>
      </c>
      <c r="U55" s="7">
        <v>40</v>
      </c>
      <c r="V55" s="7">
        <v>0.220664</v>
      </c>
      <c r="W55">
        <v>0.05</v>
      </c>
      <c r="X55">
        <v>0.15</v>
      </c>
      <c r="Y55">
        <v>0.6</v>
      </c>
      <c r="Z55" s="7">
        <v>225</v>
      </c>
      <c r="AA55" s="7">
        <v>210</v>
      </c>
      <c r="AB55" s="7">
        <v>0</v>
      </c>
      <c r="AC55" s="12">
        <v>60</v>
      </c>
    </row>
    <row r="56" spans="1:31" ht="24.75" customHeight="1" x14ac:dyDescent="0.2">
      <c r="A56" s="7" t="s">
        <v>8</v>
      </c>
      <c r="B56" s="7">
        <v>50</v>
      </c>
      <c r="C56" s="7">
        <v>0.49329499999999998</v>
      </c>
      <c r="D56" s="7"/>
      <c r="E56" s="7"/>
      <c r="F56" s="7"/>
      <c r="G56" s="7"/>
      <c r="H56" s="7"/>
      <c r="I56" s="7"/>
      <c r="J56" s="7"/>
      <c r="K56" s="7"/>
      <c r="L56" s="7">
        <v>225</v>
      </c>
      <c r="M56" s="7">
        <v>225</v>
      </c>
      <c r="N56" s="7">
        <v>0</v>
      </c>
      <c r="O56" s="7"/>
      <c r="P56" s="7"/>
      <c r="Q56" s="7"/>
      <c r="R56" s="3"/>
      <c r="S56" s="3"/>
      <c r="T56" s="7" t="s">
        <v>9</v>
      </c>
      <c r="U56" s="7">
        <v>50</v>
      </c>
      <c r="V56" s="7">
        <v>0.30863800000000002</v>
      </c>
      <c r="W56">
        <v>0.05</v>
      </c>
      <c r="X56">
        <v>0.15</v>
      </c>
      <c r="Y56">
        <v>0.6</v>
      </c>
      <c r="Z56" s="7">
        <v>225</v>
      </c>
      <c r="AA56" s="7">
        <v>225</v>
      </c>
      <c r="AB56" s="7">
        <v>0</v>
      </c>
      <c r="AC56" s="12">
        <v>60</v>
      </c>
    </row>
    <row r="57" spans="1:31" ht="24.75" customHeight="1" x14ac:dyDescent="0.2">
      <c r="A57" s="7" t="s">
        <v>8</v>
      </c>
      <c r="B57" s="7">
        <v>60</v>
      </c>
      <c r="C57" s="7">
        <v>0.59378299999999995</v>
      </c>
      <c r="D57" s="7"/>
      <c r="E57" s="7"/>
      <c r="F57" s="7"/>
      <c r="G57" s="7"/>
      <c r="H57" s="7"/>
      <c r="I57" s="7"/>
      <c r="J57" s="7"/>
      <c r="K57" s="7"/>
      <c r="L57" s="7">
        <v>225</v>
      </c>
      <c r="M57" s="7">
        <v>225</v>
      </c>
      <c r="N57" s="7">
        <v>0</v>
      </c>
      <c r="O57" s="7"/>
      <c r="P57" s="7"/>
      <c r="Q57" s="7"/>
      <c r="R57" s="3"/>
      <c r="S57" s="3"/>
      <c r="T57" s="7" t="s">
        <v>9</v>
      </c>
      <c r="U57" s="7">
        <v>60</v>
      </c>
      <c r="V57" s="7">
        <v>0.378276</v>
      </c>
      <c r="W57">
        <v>0.05</v>
      </c>
      <c r="X57">
        <v>0.15</v>
      </c>
      <c r="Y57">
        <v>0.6</v>
      </c>
      <c r="Z57" s="7">
        <v>225</v>
      </c>
      <c r="AA57" s="7">
        <v>225</v>
      </c>
      <c r="AB57" s="7">
        <v>0</v>
      </c>
      <c r="AC57" s="12">
        <v>60</v>
      </c>
    </row>
    <row r="58" spans="1:31" ht="24.75" customHeight="1" x14ac:dyDescent="0.2">
      <c r="A58" s="7" t="s">
        <v>8</v>
      </c>
      <c r="B58" s="7">
        <v>70</v>
      </c>
      <c r="C58" s="7">
        <v>0.69215700000000002</v>
      </c>
      <c r="D58" s="7"/>
      <c r="E58" s="7"/>
      <c r="F58" s="7"/>
      <c r="G58" s="7"/>
      <c r="H58" s="7"/>
      <c r="I58" s="7"/>
      <c r="J58" s="7"/>
      <c r="K58" s="7"/>
      <c r="L58" s="7">
        <v>225</v>
      </c>
      <c r="M58" s="7">
        <v>225</v>
      </c>
      <c r="N58" s="7">
        <v>120</v>
      </c>
      <c r="O58" s="7"/>
      <c r="P58" s="7"/>
      <c r="Q58" s="7"/>
      <c r="R58" s="3"/>
      <c r="S58" s="3"/>
      <c r="T58" s="7" t="s">
        <v>9</v>
      </c>
      <c r="U58" s="7">
        <v>70</v>
      </c>
      <c r="V58" s="7">
        <v>1.0790919999999999</v>
      </c>
      <c r="W58">
        <v>0.05</v>
      </c>
      <c r="X58">
        <v>0.15</v>
      </c>
      <c r="Y58">
        <v>0.6</v>
      </c>
      <c r="Z58" s="7">
        <v>225</v>
      </c>
      <c r="AA58" s="7">
        <v>225</v>
      </c>
      <c r="AB58" s="7">
        <v>120</v>
      </c>
      <c r="AC58" s="12">
        <v>60</v>
      </c>
    </row>
    <row r="59" spans="1:31" ht="24.75" customHeight="1" x14ac:dyDescent="0.2">
      <c r="A59" s="7" t="s">
        <v>8</v>
      </c>
      <c r="B59" s="7">
        <v>80</v>
      </c>
      <c r="C59" s="7">
        <v>0.78470099999999998</v>
      </c>
      <c r="D59" s="7"/>
      <c r="E59" s="7"/>
      <c r="F59" s="7"/>
      <c r="G59" s="7"/>
      <c r="H59" s="7"/>
      <c r="I59" s="7"/>
      <c r="J59" s="7"/>
      <c r="K59" s="7"/>
      <c r="L59" s="7">
        <v>240</v>
      </c>
      <c r="M59" s="7">
        <v>225</v>
      </c>
      <c r="N59" s="7">
        <v>135</v>
      </c>
      <c r="O59" s="7"/>
      <c r="P59" s="7"/>
      <c r="Q59" s="7"/>
      <c r="R59" s="3"/>
      <c r="S59" s="3"/>
      <c r="T59" s="7" t="s">
        <v>9</v>
      </c>
      <c r="U59" s="7">
        <v>80</v>
      </c>
      <c r="V59" s="7">
        <v>1.3509450000000001</v>
      </c>
      <c r="W59">
        <v>0.05</v>
      </c>
      <c r="X59">
        <v>0.15</v>
      </c>
      <c r="Y59">
        <v>0.6</v>
      </c>
      <c r="Z59" s="7">
        <v>240</v>
      </c>
      <c r="AA59" s="7">
        <v>225</v>
      </c>
      <c r="AB59" s="7">
        <v>135</v>
      </c>
      <c r="AC59" s="12">
        <v>60</v>
      </c>
    </row>
    <row r="60" spans="1:31" ht="24.75" customHeight="1" x14ac:dyDescent="0.2">
      <c r="A60" s="7" t="s">
        <v>8</v>
      </c>
      <c r="B60" s="7">
        <v>90</v>
      </c>
      <c r="C60" s="7">
        <v>0.83639300000000005</v>
      </c>
      <c r="D60" s="7"/>
      <c r="E60" s="7"/>
      <c r="F60" s="7"/>
      <c r="G60" s="7"/>
      <c r="H60" s="7"/>
      <c r="I60" s="7"/>
      <c r="J60" s="7"/>
      <c r="K60" s="7"/>
      <c r="L60" s="7">
        <v>240</v>
      </c>
      <c r="M60" s="7">
        <v>225</v>
      </c>
      <c r="N60" s="7">
        <v>150</v>
      </c>
      <c r="O60" s="7"/>
      <c r="P60" s="7"/>
      <c r="Q60" s="7"/>
      <c r="R60" s="3"/>
      <c r="S60" s="3"/>
      <c r="T60" s="7" t="s">
        <v>9</v>
      </c>
      <c r="U60" s="7">
        <v>90</v>
      </c>
      <c r="V60" s="7">
        <v>1.680985</v>
      </c>
      <c r="W60">
        <v>0.05</v>
      </c>
      <c r="X60">
        <v>0.15</v>
      </c>
      <c r="Y60">
        <v>0.6</v>
      </c>
      <c r="Z60" s="7">
        <v>240</v>
      </c>
      <c r="AA60" s="7">
        <v>225</v>
      </c>
      <c r="AB60" s="7">
        <v>150</v>
      </c>
      <c r="AC60" s="12">
        <v>60</v>
      </c>
    </row>
    <row r="61" spans="1:31" ht="24.75" customHeight="1" x14ac:dyDescent="0.2">
      <c r="A61" s="7" t="s">
        <v>8</v>
      </c>
      <c r="B61" s="7">
        <v>100</v>
      </c>
      <c r="C61" s="7">
        <v>0.90221099999999999</v>
      </c>
      <c r="D61" s="7"/>
      <c r="E61" s="7"/>
      <c r="F61" s="7"/>
      <c r="G61" s="7"/>
      <c r="H61" s="7"/>
      <c r="I61" s="7"/>
      <c r="J61" s="7"/>
      <c r="K61" s="7"/>
      <c r="L61" s="7">
        <v>240</v>
      </c>
      <c r="M61" s="7">
        <v>225</v>
      </c>
      <c r="N61" s="7">
        <v>165</v>
      </c>
      <c r="O61" s="7"/>
      <c r="P61" s="7"/>
      <c r="Q61" s="7"/>
      <c r="R61" s="3"/>
      <c r="S61" s="3"/>
      <c r="T61" s="7" t="s">
        <v>9</v>
      </c>
      <c r="U61" s="7">
        <v>100</v>
      </c>
      <c r="V61" s="7">
        <v>1.680985</v>
      </c>
      <c r="W61">
        <v>0.05</v>
      </c>
      <c r="X61">
        <v>0.15</v>
      </c>
      <c r="Y61">
        <v>0.6</v>
      </c>
      <c r="Z61" s="7">
        <v>240</v>
      </c>
      <c r="AA61" s="7">
        <v>225</v>
      </c>
      <c r="AB61" s="7">
        <v>165</v>
      </c>
      <c r="AC61" s="12">
        <v>60</v>
      </c>
    </row>
    <row r="62" spans="1:31" x14ac:dyDescent="0.2">
      <c r="AC62" s="4"/>
      <c r="AE62" s="10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宁 李</cp:lastModifiedBy>
  <dcterms:created xsi:type="dcterms:W3CDTF">2015-06-05T18:19:34Z</dcterms:created>
  <dcterms:modified xsi:type="dcterms:W3CDTF">2026-05-11T03:02:20Z</dcterms:modified>
</cp:coreProperties>
</file>